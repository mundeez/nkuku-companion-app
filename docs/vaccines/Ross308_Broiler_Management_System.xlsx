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erfData" sheetId="2" state="hidden" r:id="rId2"/>
    <sheet xmlns:r="http://schemas.openxmlformats.org/officeDocument/2006/relationships" name="Hatch Calculator" sheetId="3" state="visible" r:id="rId3"/>
    <sheet xmlns:r="http://schemas.openxmlformats.org/officeDocument/2006/relationships" name="Vaccination Calendar" sheetId="4" state="visible" r:id="rId4"/>
    <sheet xmlns:r="http://schemas.openxmlformats.org/officeDocument/2006/relationships" name="Daily Checklist" sheetId="5" state="visible" r:id="rId5"/>
    <sheet xmlns:r="http://schemas.openxmlformats.org/officeDocument/2006/relationships" name="Weekly Weights" sheetId="6" state="visible" r:id="rId6"/>
    <sheet xmlns:r="http://schemas.openxmlformats.org/officeDocument/2006/relationships" name="Feed Tracking" sheetId="7" state="visible" r:id="rId7"/>
    <sheet xmlns:r="http://schemas.openxmlformats.org/officeDocument/2006/relationships" name="Water Tracking" sheetId="8" state="visible" r:id="rId8"/>
    <sheet xmlns:r="http://schemas.openxmlformats.org/officeDocument/2006/relationships" name="Mortality Log" sheetId="9" state="visible" r:id="rId9"/>
    <sheet xmlns:r="http://schemas.openxmlformats.org/officeDocument/2006/relationships" name="Medication Register" sheetId="10" state="visible" r:id="rId10"/>
    <sheet xmlns:r="http://schemas.openxmlformats.org/officeDocument/2006/relationships" name="Vaccine Inventory" sheetId="11" state="visible" r:id="rId11"/>
    <sheet xmlns:r="http://schemas.openxmlformats.org/officeDocument/2006/relationships" name="Farm Recor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  <sz val="11"/>
    </font>
    <font>
      <b val="1"/>
      <sz val="10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65" fontId="0" fillId="3" borderId="0" applyAlignment="1" applyProtection="1" pivotButton="0" quotePrefix="0" xfId="0">
      <alignment horizontal="left"/>
      <protection locked="0" hidden="0"/>
    </xf>
    <xf numFmtId="165" fontId="0" fillId="0" borderId="0" pivotButton="0" quotePrefix="0" xfId="0"/>
    <xf numFmtId="0" fontId="0" fillId="3" borderId="0" applyProtection="1" pivotButton="0" quotePrefix="0" xfId="0">
      <protection locked="0" hidden="0"/>
    </xf>
    <xf numFmtId="0" fontId="2" fillId="4" borderId="1" applyProtection="1" pivotButton="0" quotePrefix="0" xfId="0">
      <protection locked="0" hidden="0"/>
    </xf>
    <xf numFmtId="0" fontId="0" fillId="5" borderId="1" pivotButton="0" quotePrefix="0" xfId="0"/>
    <xf numFmtId="0" fontId="3" fillId="2" borderId="0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10" fontId="0" fillId="5" borderId="1" pivotButton="0" quotePrefix="0" xfId="0"/>
    <xf numFmtId="0" fontId="4" fillId="4" borderId="1" applyAlignment="1" applyProtection="1" pivotButton="0" quotePrefix="0" xfId="0">
      <alignment horizontal="center" wrapText="1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165" fontId="0" fillId="3" borderId="0" pivotButton="0" quotePrefix="0" xfId="0"/>
    <xf numFmtId="0" fontId="3" fillId="2" borderId="1" applyAlignment="1" applyProtection="1" pivotButton="0" quotePrefix="0" xfId="0">
      <alignment horizontal="center" vertical="center" wrapText="1"/>
      <protection locked="0" hidden="0"/>
    </xf>
    <xf numFmtId="165" fontId="0" fillId="0" borderId="1" pivotButton="0" quotePrefix="0" xfId="0"/>
    <xf numFmtId="0" fontId="0" fillId="0" borderId="1" applyAlignment="1" applyProtection="1" pivotButton="0" quotePrefix="0" xfId="0">
      <alignment horizontal="center"/>
      <protection locked="0" hidden="0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6" fontId="0" fillId="0" borderId="1" pivotButton="0" quotePrefix="0" xfId="0"/>
    <xf numFmtId="0" fontId="0" fillId="3" borderId="1" applyAlignment="1" applyProtection="1" pivotButton="0" quotePrefix="0" xfId="0">
      <alignment horizontal="center"/>
      <protection locked="0" hidden="0"/>
    </xf>
    <xf numFmtId="165" fontId="0" fillId="3" borderId="1" applyProtection="1" pivotButton="0" quotePrefix="0" xfId="0">
      <protection locked="0" hidden="0"/>
    </xf>
    <xf numFmtId="10" fontId="0" fillId="0" borderId="1" pivotButton="0" quotePrefix="0" xfId="0"/>
    <xf numFmtId="165" fontId="0" fillId="0" borderId="1" applyProtection="1" pivotButton="0" quotePrefix="0" xfId="0">
      <protection locked="0" hidden="0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Weight</a:t>
            </a:r>
          </a:p>
        </rich>
      </tx>
    </title>
    <plotArea>
      <lineChart>
        <grouping val="standard"/>
        <ser>
          <idx val="0"/>
          <order val="0"/>
          <tx>
            <strRef>
              <f>'Weekly Weights'!B3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Weights'!$A$4:$A$11</f>
            </numRef>
          </cat>
          <val>
            <numRef>
              <f>'Weekly Weights'!$B$4:$B$11</f>
            </numRef>
          </val>
        </ser>
        <ser>
          <idx val="1"/>
          <order val="1"/>
          <tx>
            <strRef>
              <f>'Weekly Weights'!C3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Weights'!$A$4:$A$11</f>
            </numRef>
          </cat>
          <val>
            <numRef>
              <f>'Weekly Weights'!$C$4:$C$11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Body 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Mortality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Deaths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1" t="inlineStr">
        <is>
          <t>Ross 308 Broiler Management Dashboard - Zambia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Hatch Date:</t>
        </is>
      </c>
      <c r="B3" s="4" t="n">
        <v>46204</v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Current Date:</t>
        </is>
      </c>
      <c r="B4" s="5">
        <f>TODAY()</f>
        <v/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Target Market Age (days):</t>
        </is>
      </c>
      <c r="B5" s="6" t="n">
        <v>42</v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Starting Chick Count:</t>
        </is>
      </c>
      <c r="B6" s="6" t="n">
        <v>1000</v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Current Mortality (birds):</t>
        </is>
      </c>
      <c r="B7" s="6" t="n">
        <v>0</v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7" t="inlineStr">
        <is>
          <t>Current Flock Age (days)</t>
        </is>
      </c>
      <c r="B9" s="8">
        <f>B4-B3</f>
        <v/>
      </c>
      <c r="C9" s="2" t="n"/>
      <c r="D9" s="2" t="n"/>
      <c r="E9" s="2" t="n"/>
      <c r="F9" s="2" t="n"/>
      <c r="G9" s="9" t="inlineStr">
        <is>
          <t>Management Reminders</t>
        </is>
      </c>
      <c r="H9" s="2" t="n"/>
    </row>
    <row r="10">
      <c r="A10" s="7" t="inlineStr">
        <is>
          <t>Days Until Market</t>
        </is>
      </c>
      <c r="B10" s="8">
        <f>B5-B9</f>
        <v/>
      </c>
      <c r="C10" s="2" t="n"/>
      <c r="D10" s="2" t="n"/>
      <c r="E10" s="2" t="n"/>
      <c r="F10" s="2" t="n"/>
      <c r="G10" s="10" t="inlineStr">
        <is>
          <t>Check temperature &amp; humidity 2x daily</t>
        </is>
      </c>
      <c r="H10" s="2" t="n"/>
    </row>
    <row r="11">
      <c r="A11" s="7" t="inlineStr">
        <is>
          <t>Live Birds Remaining</t>
        </is>
      </c>
      <c r="B11" s="8">
        <f>B6-B7</f>
        <v/>
      </c>
      <c r="C11" s="2" t="n"/>
      <c r="D11" s="2" t="n"/>
      <c r="E11" s="2" t="n"/>
      <c r="F11" s="2" t="n"/>
      <c r="G11" s="10" t="inlineStr">
        <is>
          <t>Record mortality and culls daily</t>
        </is>
      </c>
      <c r="H11" s="2" t="n"/>
    </row>
    <row r="12">
      <c r="A12" s="7" t="inlineStr">
        <is>
          <t>Mortality Rate (%)</t>
        </is>
      </c>
      <c r="B12" s="11">
        <f>IF(B6=0,0,B7/B6)</f>
        <v/>
      </c>
      <c r="C12" s="2" t="n"/>
      <c r="D12" s="2" t="n"/>
      <c r="E12" s="2" t="n"/>
      <c r="F12" s="2" t="n"/>
      <c r="G12" s="10" t="inlineStr">
        <is>
          <t>Monitor feed and water consumption</t>
        </is>
      </c>
      <c r="H12" s="2" t="n"/>
    </row>
    <row r="13">
      <c r="A13" s="7" t="inlineStr">
        <is>
          <t>Expected Target Weight (g)</t>
        </is>
      </c>
      <c r="B13" s="8">
        <f>IFERROR(VLOOKUP(B9,PerfData!$A$2:$F$51,2,FALSE),"")</f>
        <v/>
      </c>
      <c r="C13" s="2" t="n"/>
      <c r="D13" s="2" t="n"/>
      <c r="E13" s="2" t="n"/>
      <c r="F13" s="2" t="n"/>
      <c r="G13" s="10" t="inlineStr">
        <is>
          <t>Inspect litter quality</t>
        </is>
      </c>
      <c r="H13" s="2" t="n"/>
    </row>
    <row r="14">
      <c r="A14" s="7" t="inlineStr">
        <is>
          <t>Expected Daily Feed Intake (g/bird)</t>
        </is>
      </c>
      <c r="B14" s="8">
        <f>IFERROR(VLOOKUP(B9,PerfData!$A$2:$F$51,4,FALSE),"")</f>
        <v/>
      </c>
      <c r="C14" s="2" t="n"/>
      <c r="D14" s="2" t="n"/>
      <c r="E14" s="2" t="n"/>
      <c r="F14" s="2" t="n"/>
      <c r="G14" s="10" t="inlineStr">
        <is>
          <t>Verify cold chain for vaccines</t>
        </is>
      </c>
      <c r="H14" s="2" t="n"/>
    </row>
    <row r="15">
      <c r="A15" s="7" t="inlineStr">
        <is>
          <t>Expected Water Intake (mL/bird)</t>
        </is>
      </c>
      <c r="B15" s="8">
        <f>IF(B14="","",B14*1.8)</f>
        <v/>
      </c>
      <c r="C15" s="2" t="n"/>
      <c r="D15" s="2" t="n"/>
      <c r="E15" s="2" t="n"/>
      <c r="F15" s="2" t="n"/>
      <c r="G15" s="10" t="inlineStr">
        <is>
          <t>Maintain footbaths and biosecurity</t>
        </is>
      </c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22" customHeight="1">
      <c r="A17" s="9" t="inlineStr">
        <is>
          <t>Upcoming Vaccinations (Next 14 Days)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12" t="inlineStr">
        <is>
          <t>Date</t>
        </is>
      </c>
      <c r="B18" s="12" t="inlineStr">
        <is>
          <t>Bird Age</t>
        </is>
      </c>
      <c r="C18" s="12" t="inlineStr">
        <is>
          <t>Vaccine</t>
        </is>
      </c>
      <c r="D18" s="12" t="inlineStr">
        <is>
          <t>Disease</t>
        </is>
      </c>
      <c r="E18" s="12" t="inlineStr">
        <is>
          <t>Route</t>
        </is>
      </c>
      <c r="F18" s="2" t="n"/>
      <c r="G18" s="2" t="n"/>
      <c r="H18" s="2" t="n"/>
    </row>
    <row r="19">
      <c r="A19" s="5">
        <f>IFERROR(B3+INDEX('Vaccination Calendar'!$A$2:$A$9,MATCH(TRUE,'Vaccination Calendar'!$A$2:$A$9&gt;=(B9-1),0)),"")</f>
        <v/>
      </c>
      <c r="B19">
        <f>IFERROR(INDEX('Vaccination Calendar'!$B$2:$B$9,MATCH(TRUE,'Vaccination Calendar'!$A$2:$A$9&gt;=(B9-1),0)),"")</f>
        <v/>
      </c>
      <c r="C19" s="2" t="n"/>
      <c r="D19" s="2" t="n"/>
      <c r="E19" s="2" t="n"/>
      <c r="F19" s="2" t="n"/>
      <c r="G19" s="2" t="n"/>
      <c r="H19" s="2" t="n"/>
    </row>
    <row r="20">
      <c r="A20" s="5">
        <f>IFERROR(B3+INDEX('Vaccination Calendar'!$A$2:$A$9,MATCH(TRUE,'Vaccination Calendar'!$A$2:$A$9&gt;=(B9-1),0)),"")</f>
        <v/>
      </c>
      <c r="B20">
        <f>IFERROR(INDEX('Vaccination Calendar'!$B$2:$B$9,MATCH(TRUE,'Vaccination Calendar'!$A$2:$A$9&gt;=(B9-1),0)),"")</f>
        <v/>
      </c>
      <c r="C20" s="2" t="n"/>
      <c r="D20" s="2" t="n"/>
      <c r="E20" s="2" t="n"/>
      <c r="F20" s="2" t="n"/>
      <c r="G20" s="2" t="n"/>
      <c r="H20" s="2" t="n"/>
    </row>
    <row r="21">
      <c r="A21" s="5">
        <f>IFERROR(B3+INDEX('Vaccination Calendar'!$A$2:$A$9,MATCH(TRUE,'Vaccination Calendar'!$A$2:$A$9&gt;=(B9-1),0)),"")</f>
        <v/>
      </c>
      <c r="B21">
        <f>IFERROR(INDEX('Vaccination Calendar'!$B$2:$B$9,MATCH(TRUE,'Vaccination Calendar'!$A$2:$A$9&gt;=(B9-1),0)),"")</f>
        <v/>
      </c>
      <c r="C21" s="2" t="n"/>
      <c r="D21" s="2" t="n"/>
      <c r="E21" s="2" t="n"/>
      <c r="F21" s="2" t="n"/>
      <c r="G21" s="2" t="n"/>
      <c r="H21" s="2" t="n"/>
    </row>
    <row r="22">
      <c r="A22" s="5">
        <f>IFERROR(B3+INDEX('Vaccination Calendar'!$A$2:$A$9,MATCH(TRUE,'Vaccination Calendar'!$A$2:$A$9&gt;=(B9-1),0)),"")</f>
        <v/>
      </c>
      <c r="B22">
        <f>IFERROR(INDEX('Vaccination Calendar'!$B$2:$B$9,MATCH(TRUE,'Vaccination Calendar'!$A$2:$A$9&gt;=(B9-1),0)),"")</f>
        <v/>
      </c>
      <c r="C22" s="2" t="n"/>
      <c r="D22" s="2" t="n"/>
      <c r="E22" s="2" t="n"/>
      <c r="F22" s="2" t="n"/>
      <c r="G22" s="2" t="n"/>
      <c r="H22" s="2" t="n"/>
    </row>
    <row r="23">
      <c r="A23" s="5">
        <f>IFERROR(B3+INDEX('Vaccination Calendar'!$A$2:$A$9,MATCH(TRUE,'Vaccination Calendar'!$A$2:$A$9&gt;=(B9-1),0)),"")</f>
        <v/>
      </c>
      <c r="B23">
        <f>IFERROR(INDEX('Vaccination Calendar'!$B$2:$B$9,MATCH(TRUE,'Vaccination Calendar'!$A$2:$A$9&gt;=(B9-1),0)),"")</f>
        <v/>
      </c>
      <c r="C23" s="2" t="n"/>
      <c r="D23" s="2" t="n"/>
      <c r="E23" s="2" t="n"/>
      <c r="F23" s="2" t="n"/>
      <c r="G23" s="2" t="n"/>
      <c r="H23" s="2" t="n"/>
    </row>
  </sheetData>
  <mergeCells count="3">
    <mergeCell ref="G9:H9"/>
    <mergeCell ref="A17:E17"/>
    <mergeCell ref="A1:H1"/>
  </mergeCells>
  <conditionalFormatting sqref="B12">
    <cfRule type="cellIs" priority="1" operator="greaterThan" dxfId="0">
      <formula>0.05</formula>
    </cfRule>
  </conditionalFormatting>
  <conditionalFormatting sqref="B10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Weight(g)</t>
        </is>
      </c>
      <c r="C1" t="inlineStr">
        <is>
          <t>DailyGain(g)</t>
        </is>
      </c>
      <c r="D1" t="inlineStr">
        <is>
          <t>DailyIntake(g)</t>
        </is>
      </c>
      <c r="E1" t="inlineStr">
        <is>
          <t>CumIntake(g)</t>
        </is>
      </c>
      <c r="F1" t="inlineStr">
        <is>
          <t>FCR</t>
        </is>
      </c>
    </row>
    <row r="2">
      <c r="A2" t="n">
        <v>0</v>
      </c>
      <c r="B2" t="n">
        <v>44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63</v>
      </c>
      <c r="C3" t="n">
        <v>19</v>
      </c>
      <c r="D3" t="n">
        <v>13</v>
      </c>
      <c r="E3" t="n">
        <v>13</v>
      </c>
      <c r="F3" t="n">
        <v>0.206</v>
      </c>
    </row>
    <row r="4">
      <c r="A4" t="n">
        <v>2</v>
      </c>
      <c r="B4" t="n">
        <v>81</v>
      </c>
      <c r="C4" t="n">
        <v>19</v>
      </c>
      <c r="D4" t="n">
        <v>17</v>
      </c>
      <c r="E4" t="n">
        <v>31</v>
      </c>
      <c r="F4" t="n">
        <v>0.375</v>
      </c>
    </row>
    <row r="5">
      <c r="A5" t="n">
        <v>3</v>
      </c>
      <c r="B5" t="n">
        <v>103</v>
      </c>
      <c r="C5" t="n">
        <v>21</v>
      </c>
      <c r="D5" t="n">
        <v>21</v>
      </c>
      <c r="E5" t="n">
        <v>52</v>
      </c>
      <c r="F5" t="n">
        <v>0.503</v>
      </c>
    </row>
    <row r="6">
      <c r="A6" t="n">
        <v>4</v>
      </c>
      <c r="B6" t="n">
        <v>126</v>
      </c>
      <c r="C6" t="n">
        <v>24</v>
      </c>
      <c r="D6" t="n">
        <v>25</v>
      </c>
      <c r="E6" t="n">
        <v>76</v>
      </c>
      <c r="F6" t="n">
        <v>0.604</v>
      </c>
    </row>
    <row r="7">
      <c r="A7" t="n">
        <v>5</v>
      </c>
      <c r="B7" t="n">
        <v>152</v>
      </c>
      <c r="C7" t="n">
        <v>26</v>
      </c>
      <c r="D7" t="n">
        <v>28</v>
      </c>
      <c r="E7" t="n">
        <v>104</v>
      </c>
      <c r="F7" t="n">
        <v>0.6840000000000001</v>
      </c>
    </row>
    <row r="8">
      <c r="A8" t="n">
        <v>6</v>
      </c>
      <c r="B8" t="n">
        <v>182</v>
      </c>
      <c r="C8" t="n">
        <v>29</v>
      </c>
      <c r="D8" t="n">
        <v>32</v>
      </c>
      <c r="E8" t="n">
        <v>136</v>
      </c>
      <c r="F8" t="n">
        <v>0.748</v>
      </c>
    </row>
    <row r="9">
      <c r="A9" t="n">
        <v>7</v>
      </c>
      <c r="B9" t="n">
        <v>214</v>
      </c>
      <c r="C9" t="n">
        <v>32</v>
      </c>
      <c r="D9" t="n">
        <v>35</v>
      </c>
      <c r="E9" t="n">
        <v>171</v>
      </c>
      <c r="F9" t="n">
        <v>0.8</v>
      </c>
    </row>
    <row r="10">
      <c r="A10" t="n">
        <v>8</v>
      </c>
      <c r="B10" t="n">
        <v>249</v>
      </c>
      <c r="C10" t="n">
        <v>35</v>
      </c>
      <c r="D10" t="n">
        <v>39</v>
      </c>
      <c r="E10" t="n">
        <v>210</v>
      </c>
      <c r="F10" t="n">
        <v>0.843</v>
      </c>
    </row>
    <row r="11">
      <c r="A11" t="n">
        <v>9</v>
      </c>
      <c r="B11" t="n">
        <v>287</v>
      </c>
      <c r="C11" t="n">
        <v>38</v>
      </c>
      <c r="D11" t="n">
        <v>43</v>
      </c>
      <c r="E11" t="n">
        <v>253</v>
      </c>
      <c r="F11" t="n">
        <v>0.88</v>
      </c>
    </row>
    <row r="12">
      <c r="A12" t="n">
        <v>10</v>
      </c>
      <c r="B12" t="n">
        <v>328</v>
      </c>
      <c r="C12" t="n">
        <v>41</v>
      </c>
      <c r="D12" t="n">
        <v>47</v>
      </c>
      <c r="E12" t="n">
        <v>304</v>
      </c>
      <c r="F12" t="n">
        <v>0.947</v>
      </c>
    </row>
    <row r="13">
      <c r="A13" t="n">
        <v>11</v>
      </c>
      <c r="B13" t="n">
        <v>366</v>
      </c>
      <c r="C13" t="n">
        <v>44</v>
      </c>
      <c r="D13" t="n">
        <v>52</v>
      </c>
      <c r="E13" t="n">
        <v>358</v>
      </c>
      <c r="F13" t="n">
        <v>0.979</v>
      </c>
    </row>
    <row r="14">
      <c r="A14" t="n">
        <v>12</v>
      </c>
      <c r="B14" t="n">
        <v>414</v>
      </c>
      <c r="C14" t="n">
        <v>48</v>
      </c>
      <c r="D14" t="n">
        <v>58</v>
      </c>
      <c r="E14" t="n">
        <v>416</v>
      </c>
      <c r="F14" t="n">
        <v>1.007</v>
      </c>
    </row>
    <row r="15">
      <c r="A15" t="n">
        <v>13</v>
      </c>
      <c r="B15" t="n">
        <v>465</v>
      </c>
      <c r="C15" t="n">
        <v>51</v>
      </c>
      <c r="D15" t="n">
        <v>63</v>
      </c>
      <c r="E15" t="n">
        <v>480</v>
      </c>
      <c r="F15" t="n">
        <v>1.033</v>
      </c>
    </row>
    <row r="16">
      <c r="A16" t="n">
        <v>14</v>
      </c>
      <c r="B16" t="n">
        <v>519</v>
      </c>
      <c r="C16" t="n">
        <v>54</v>
      </c>
      <c r="D16" t="n">
        <v>69</v>
      </c>
      <c r="E16" t="n">
        <v>548</v>
      </c>
      <c r="F16" t="n">
        <v>1.057</v>
      </c>
    </row>
    <row r="17">
      <c r="A17" t="n">
        <v>15</v>
      </c>
      <c r="B17" t="n">
        <v>576</v>
      </c>
      <c r="C17" t="n">
        <v>58</v>
      </c>
      <c r="D17" t="n">
        <v>74</v>
      </c>
      <c r="E17" t="n">
        <v>622</v>
      </c>
      <c r="F17" t="n">
        <v>1.08</v>
      </c>
    </row>
    <row r="18">
      <c r="A18" t="n">
        <v>16</v>
      </c>
      <c r="B18" t="n">
        <v>637</v>
      </c>
      <c r="C18" t="n">
        <v>61</v>
      </c>
      <c r="D18" t="n">
        <v>79</v>
      </c>
      <c r="E18" t="n">
        <v>702</v>
      </c>
      <c r="F18" t="n">
        <v>1.101</v>
      </c>
    </row>
    <row r="19">
      <c r="A19" t="n">
        <v>17</v>
      </c>
      <c r="B19" t="n">
        <v>701</v>
      </c>
      <c r="C19" t="n">
        <v>64</v>
      </c>
      <c r="D19" t="n">
        <v>85</v>
      </c>
      <c r="E19" t="n">
        <v>786</v>
      </c>
      <c r="F19" t="n">
        <v>1.122</v>
      </c>
    </row>
    <row r="20">
      <c r="A20" t="n">
        <v>18</v>
      </c>
      <c r="B20" t="n">
        <v>768</v>
      </c>
      <c r="C20" t="n">
        <v>67</v>
      </c>
      <c r="D20" t="n">
        <v>90</v>
      </c>
      <c r="E20" t="n">
        <v>877</v>
      </c>
      <c r="F20" t="n">
        <v>1.142</v>
      </c>
    </row>
    <row r="21">
      <c r="A21" t="n">
        <v>19</v>
      </c>
      <c r="B21" t="n">
        <v>837</v>
      </c>
      <c r="C21" t="n">
        <v>70</v>
      </c>
      <c r="D21" t="n">
        <v>96</v>
      </c>
      <c r="E21" t="n">
        <v>973</v>
      </c>
      <c r="F21" t="n">
        <v>1.162</v>
      </c>
    </row>
    <row r="22">
      <c r="A22" t="n">
        <v>20</v>
      </c>
      <c r="B22" t="n">
        <v>910</v>
      </c>
      <c r="C22" t="n">
        <v>72</v>
      </c>
      <c r="D22" t="n">
        <v>102</v>
      </c>
      <c r="E22" t="n">
        <v>1075</v>
      </c>
      <c r="F22" t="n">
        <v>1.182</v>
      </c>
    </row>
    <row r="23">
      <c r="A23" t="n">
        <v>21</v>
      </c>
      <c r="B23" t="n">
        <v>985</v>
      </c>
      <c r="C23" t="n">
        <v>75</v>
      </c>
      <c r="D23" t="n">
        <v>108</v>
      </c>
      <c r="E23" t="n">
        <v>1183</v>
      </c>
      <c r="F23" t="n">
        <v>1.201</v>
      </c>
    </row>
    <row r="24">
      <c r="A24" t="n">
        <v>22</v>
      </c>
      <c r="B24" t="n">
        <v>1062</v>
      </c>
      <c r="C24" t="n">
        <v>78</v>
      </c>
      <c r="D24" t="n">
        <v>114</v>
      </c>
      <c r="E24" t="n">
        <v>1297</v>
      </c>
      <c r="F24" t="n">
        <v>1.221</v>
      </c>
    </row>
    <row r="25">
      <c r="A25" t="n">
        <v>23</v>
      </c>
      <c r="B25" t="n">
        <v>1142</v>
      </c>
      <c r="C25" t="n">
        <v>80</v>
      </c>
      <c r="D25" t="n">
        <v>120</v>
      </c>
      <c r="E25" t="n">
        <v>1416</v>
      </c>
      <c r="F25" t="n">
        <v>1.24</v>
      </c>
    </row>
    <row r="26">
      <c r="A26" t="n">
        <v>24</v>
      </c>
      <c r="B26" t="n">
        <v>1225</v>
      </c>
      <c r="C26" t="n">
        <v>82</v>
      </c>
      <c r="D26" t="n">
        <v>125</v>
      </c>
      <c r="E26" t="n">
        <v>1542</v>
      </c>
      <c r="F26" t="n">
        <v>1.259</v>
      </c>
    </row>
    <row r="27">
      <c r="A27" t="n">
        <v>25</v>
      </c>
      <c r="B27" t="n">
        <v>1309</v>
      </c>
      <c r="C27" t="n">
        <v>84</v>
      </c>
      <c r="D27" t="n">
        <v>131</v>
      </c>
      <c r="E27" t="n">
        <v>1673</v>
      </c>
      <c r="F27" t="n">
        <v>1.278</v>
      </c>
    </row>
    <row r="28">
      <c r="A28" t="n">
        <v>26</v>
      </c>
      <c r="B28" t="n">
        <v>1395</v>
      </c>
      <c r="C28" t="n">
        <v>86</v>
      </c>
      <c r="D28" t="n">
        <v>137</v>
      </c>
      <c r="E28" t="n">
        <v>1810</v>
      </c>
      <c r="F28" t="n">
        <v>1.297</v>
      </c>
    </row>
    <row r="29">
      <c r="A29" t="n">
        <v>27</v>
      </c>
      <c r="B29" t="n">
        <v>1483</v>
      </c>
      <c r="C29" t="n">
        <v>88</v>
      </c>
      <c r="D29" t="n">
        <v>143</v>
      </c>
      <c r="E29" t="n">
        <v>1953</v>
      </c>
      <c r="F29" t="n">
        <v>1.317</v>
      </c>
    </row>
    <row r="30">
      <c r="A30" t="n">
        <v>28</v>
      </c>
      <c r="B30" t="n">
        <v>1573</v>
      </c>
      <c r="C30" t="n">
        <v>90</v>
      </c>
      <c r="D30" t="n">
        <v>149</v>
      </c>
      <c r="E30" t="n">
        <v>2102</v>
      </c>
      <c r="F30" t="n">
        <v>1.336</v>
      </c>
    </row>
    <row r="31">
      <c r="A31" t="n">
        <v>29</v>
      </c>
      <c r="B31" t="n">
        <v>1664</v>
      </c>
      <c r="C31" t="n">
        <v>91</v>
      </c>
      <c r="D31" t="n">
        <v>154</v>
      </c>
      <c r="E31" t="n">
        <v>2256</v>
      </c>
      <c r="F31" t="n">
        <v>1.355</v>
      </c>
    </row>
    <row r="32">
      <c r="A32" t="n">
        <v>30</v>
      </c>
      <c r="B32" t="n">
        <v>1757</v>
      </c>
      <c r="C32" t="n">
        <v>93</v>
      </c>
      <c r="D32" t="n">
        <v>160</v>
      </c>
      <c r="E32" t="n">
        <v>2415</v>
      </c>
      <c r="F32" t="n">
        <v>1.375</v>
      </c>
    </row>
    <row r="33">
      <c r="A33" t="n">
        <v>31</v>
      </c>
      <c r="B33" t="n">
        <v>1851</v>
      </c>
      <c r="C33" t="n">
        <v>94</v>
      </c>
      <c r="D33" t="n">
        <v>165</v>
      </c>
      <c r="E33" t="n">
        <v>2580</v>
      </c>
      <c r="F33" t="n">
        <v>1.394</v>
      </c>
    </row>
    <row r="34">
      <c r="A34" t="n">
        <v>32</v>
      </c>
      <c r="B34" t="n">
        <v>1946</v>
      </c>
      <c r="C34" t="n">
        <v>95</v>
      </c>
      <c r="D34" t="n">
        <v>170</v>
      </c>
      <c r="E34" t="n">
        <v>2750</v>
      </c>
      <c r="F34" t="n">
        <v>1.414</v>
      </c>
    </row>
    <row r="35">
      <c r="A35" t="n">
        <v>33</v>
      </c>
      <c r="B35" t="n">
        <v>2041</v>
      </c>
      <c r="C35" t="n">
        <v>96</v>
      </c>
      <c r="D35" t="n">
        <v>175</v>
      </c>
      <c r="E35" t="n">
        <v>2926</v>
      </c>
      <c r="F35" t="n">
        <v>1.433</v>
      </c>
    </row>
    <row r="36">
      <c r="A36" t="n">
        <v>34</v>
      </c>
      <c r="B36" t="n">
        <v>2138</v>
      </c>
      <c r="C36" t="n">
        <v>96</v>
      </c>
      <c r="D36" t="n">
        <v>180</v>
      </c>
      <c r="E36" t="n">
        <v>3106</v>
      </c>
      <c r="F36" t="n">
        <v>1.453</v>
      </c>
    </row>
    <row r="37">
      <c r="A37" t="n">
        <v>35</v>
      </c>
      <c r="B37" t="n">
        <v>2235</v>
      </c>
      <c r="C37" t="n">
        <v>97</v>
      </c>
      <c r="D37" t="n">
        <v>185</v>
      </c>
      <c r="E37" t="n">
        <v>3290</v>
      </c>
      <c r="F37" t="n">
        <v>1.473</v>
      </c>
    </row>
    <row r="38">
      <c r="A38" t="n">
        <v>36</v>
      </c>
      <c r="B38" t="n">
        <v>2332</v>
      </c>
      <c r="C38" t="n">
        <v>97</v>
      </c>
      <c r="D38" t="n">
        <v>189</v>
      </c>
      <c r="E38" t="n">
        <v>3480</v>
      </c>
      <c r="F38" t="n">
        <v>1.492</v>
      </c>
    </row>
    <row r="39">
      <c r="A39" t="n">
        <v>37</v>
      </c>
      <c r="B39" t="n">
        <v>2430</v>
      </c>
      <c r="C39" t="n">
        <v>98</v>
      </c>
      <c r="D39" t="n">
        <v>194</v>
      </c>
      <c r="E39" t="n">
        <v>3674</v>
      </c>
      <c r="F39" t="n">
        <v>1.512</v>
      </c>
    </row>
    <row r="40">
      <c r="A40" t="n">
        <v>38</v>
      </c>
      <c r="B40" t="n">
        <v>2527</v>
      </c>
      <c r="C40" t="n">
        <v>98</v>
      </c>
      <c r="D40" t="n">
        <v>198</v>
      </c>
      <c r="E40" t="n">
        <v>3872</v>
      </c>
      <c r="F40" t="n">
        <v>1.532</v>
      </c>
    </row>
    <row r="41">
      <c r="A41" t="n">
        <v>39</v>
      </c>
      <c r="B41" t="n">
        <v>2625</v>
      </c>
      <c r="C41" t="n">
        <v>98</v>
      </c>
      <c r="D41" t="n">
        <v>202</v>
      </c>
      <c r="E41" t="n">
        <v>4074</v>
      </c>
      <c r="F41" t="n">
        <v>1.552</v>
      </c>
    </row>
    <row r="42">
      <c r="A42" t="n">
        <v>40</v>
      </c>
      <c r="B42" t="n">
        <v>2723</v>
      </c>
      <c r="C42" t="n">
        <v>98</v>
      </c>
      <c r="D42" t="n">
        <v>206</v>
      </c>
      <c r="E42" t="n">
        <v>4279</v>
      </c>
      <c r="F42" t="n">
        <v>1.571</v>
      </c>
    </row>
    <row r="43">
      <c r="A43" t="n">
        <v>41</v>
      </c>
      <c r="B43" t="n">
        <v>2821</v>
      </c>
      <c r="C43" t="n">
        <v>98</v>
      </c>
      <c r="D43" t="n">
        <v>209</v>
      </c>
      <c r="E43" t="n">
        <v>4489</v>
      </c>
      <c r="F43" t="n">
        <v>1.591</v>
      </c>
    </row>
    <row r="44">
      <c r="A44" t="n">
        <v>42</v>
      </c>
      <c r="B44" t="n">
        <v>2918</v>
      </c>
      <c r="C44" t="n">
        <v>97</v>
      </c>
      <c r="D44" t="n">
        <v>213</v>
      </c>
      <c r="E44" t="n">
        <v>4702</v>
      </c>
      <c r="F44" t="n">
        <v>1.611</v>
      </c>
    </row>
    <row r="45">
      <c r="A45" t="n">
        <v>43</v>
      </c>
      <c r="B45" t="n">
        <v>3015</v>
      </c>
      <c r="C45" t="n">
        <v>97</v>
      </c>
      <c r="D45" t="n">
        <v>216</v>
      </c>
      <c r="E45" t="n">
        <v>4918</v>
      </c>
      <c r="F45" t="n">
        <v>1.631</v>
      </c>
    </row>
    <row r="46">
      <c r="A46" t="n">
        <v>44</v>
      </c>
      <c r="B46" t="n">
        <v>3112</v>
      </c>
      <c r="C46" t="n">
        <v>96</v>
      </c>
      <c r="D46" t="n">
        <v>219</v>
      </c>
      <c r="E46" t="n">
        <v>5137</v>
      </c>
      <c r="F46" t="n">
        <v>1.651</v>
      </c>
    </row>
    <row r="47">
      <c r="A47" t="n">
        <v>45</v>
      </c>
      <c r="B47" t="n">
        <v>3207</v>
      </c>
      <c r="C47" t="n">
        <v>96</v>
      </c>
      <c r="D47" t="n">
        <v>222</v>
      </c>
      <c r="E47" t="n">
        <v>5359</v>
      </c>
      <c r="F47" t="n">
        <v>1.671</v>
      </c>
    </row>
    <row r="48">
      <c r="A48" t="n">
        <v>46</v>
      </c>
      <c r="B48" t="n">
        <v>3303</v>
      </c>
      <c r="C48" t="n">
        <v>95</v>
      </c>
      <c r="D48" t="n">
        <v>224</v>
      </c>
      <c r="E48" t="n">
        <v>5583</v>
      </c>
      <c r="F48" t="n">
        <v>1.69</v>
      </c>
    </row>
    <row r="49">
      <c r="A49" t="n">
        <v>47</v>
      </c>
      <c r="B49" t="n">
        <v>3397</v>
      </c>
      <c r="C49" t="n">
        <v>94</v>
      </c>
      <c r="D49" t="n">
        <v>227</v>
      </c>
      <c r="E49" t="n">
        <v>5810</v>
      </c>
      <c r="F49" t="n">
        <v>1.71</v>
      </c>
    </row>
    <row r="50">
      <c r="A50" t="n">
        <v>48</v>
      </c>
      <c r="B50" t="n">
        <v>3491</v>
      </c>
      <c r="C50" t="n">
        <v>94</v>
      </c>
      <c r="D50" t="n">
        <v>229</v>
      </c>
      <c r="E50" t="n">
        <v>6039</v>
      </c>
      <c r="F50" t="n">
        <v>1.73</v>
      </c>
    </row>
    <row r="51">
      <c r="A51" t="n">
        <v>49</v>
      </c>
      <c r="B51" t="n">
        <v>3583</v>
      </c>
      <c r="C51" t="n">
        <v>93</v>
      </c>
      <c r="D51" t="n">
        <v>231</v>
      </c>
      <c r="E51" t="n">
        <v>6270</v>
      </c>
      <c r="F51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27B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2" customWidth="1" min="4" max="4"/>
  </cols>
  <sheetData>
    <row r="1" ht="28" customHeight="1">
      <c r="A1" s="13" t="inlineStr">
        <is>
          <t>Hatch Date Calculator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Hatch Date:</t>
        </is>
      </c>
      <c r="B3" s="14">
        <f>Dashboard!B3</f>
        <v/>
      </c>
      <c r="C3" s="2" t="n"/>
      <c r="D3" s="2" t="n"/>
    </row>
    <row r="4">
      <c r="A4" s="2" t="n"/>
      <c r="B4" s="2" t="n"/>
      <c r="C4" s="2" t="n"/>
      <c r="D4" s="2" t="n"/>
    </row>
    <row r="5">
      <c r="A5" s="15" t="inlineStr">
        <is>
          <t>Event</t>
        </is>
      </c>
      <c r="B5" s="15" t="inlineStr">
        <is>
          <t>Date</t>
        </is>
      </c>
      <c r="C5" s="15" t="inlineStr">
        <is>
          <t>Notes</t>
        </is>
      </c>
      <c r="D5" s="15" t="inlineStr">
        <is>
          <t>Age (days)</t>
        </is>
      </c>
    </row>
    <row r="6">
      <c r="A6" s="10" t="inlineStr">
        <is>
          <t>Brooding starts / chick placement</t>
        </is>
      </c>
      <c r="B6" s="16">
        <f>B3+0</f>
        <v/>
      </c>
      <c r="C6" s="10" t="inlineStr">
        <is>
          <t>Set house at 30°C, 60-70% RH</t>
        </is>
      </c>
      <c r="D6" s="10" t="n">
        <v>0</v>
      </c>
    </row>
    <row r="7">
      <c r="A7" s="10" t="inlineStr">
        <is>
          <t>First feed and water check</t>
        </is>
      </c>
      <c r="B7" s="16">
        <f>B3+1</f>
        <v/>
      </c>
      <c r="C7" s="10" t="inlineStr">
        <is>
          <t>Ensure crop fill &gt;95% by 24h</t>
        </is>
      </c>
      <c r="D7" s="10" t="n">
        <v>1</v>
      </c>
    </row>
    <row r="8">
      <c r="A8" s="10" t="inlineStr">
        <is>
          <t>Hatchery vaccines given (if applicable)</t>
        </is>
      </c>
      <c r="B8" s="16">
        <f>B3+1</f>
        <v/>
      </c>
      <c r="C8" s="10" t="inlineStr">
        <is>
          <t>Marek's, ND, IB, IBD immune-complex</t>
        </is>
      </c>
      <c r="D8" s="10" t="n">
        <v>1</v>
      </c>
    </row>
    <row r="9">
      <c r="A9" s="10" t="inlineStr">
        <is>
          <t>Switch from paper to auto feeders/drinkers</t>
        </is>
      </c>
      <c r="B9" s="16">
        <f>B3+4</f>
        <v/>
      </c>
      <c r="C9" s="10" t="inlineStr">
        <is>
          <t>Transition over 1-2 days</t>
        </is>
      </c>
      <c r="D9" s="10" t="n">
        <v>4</v>
      </c>
    </row>
    <row r="10">
      <c r="A10" s="10" t="inlineStr">
        <is>
          <t>Temperature reduced to 27°C</t>
        </is>
      </c>
      <c r="B10" s="16">
        <f>B3+6</f>
        <v/>
      </c>
      <c r="C10" s="10" t="inlineStr">
        <is>
          <t>Monitor chick behavior</t>
        </is>
      </c>
      <c r="D10" s="10" t="n">
        <v>6</v>
      </c>
    </row>
    <row r="11">
      <c r="A11" s="10" t="inlineStr">
        <is>
          <t>IB + ND booster (high challenge)</t>
        </is>
      </c>
      <c r="B11" s="16">
        <f>B3+10</f>
        <v/>
      </c>
      <c r="C11" s="10" t="inlineStr">
        <is>
          <t>Drinking water or spray</t>
        </is>
      </c>
      <c r="D11" s="10" t="n">
        <v>10</v>
      </c>
    </row>
    <row r="12">
      <c r="A12" s="10" t="inlineStr">
        <is>
          <t>Grower feed starts</t>
        </is>
      </c>
      <c r="B12" s="16">
        <f>B3+11</f>
        <v/>
      </c>
      <c r="C12" s="10" t="inlineStr">
        <is>
          <t>Transition gradually over 3 days</t>
        </is>
      </c>
      <c r="D12" s="10" t="n">
        <v>11</v>
      </c>
    </row>
    <row r="13">
      <c r="A13" s="10" t="inlineStr">
        <is>
          <t>Gumboro (IBD) live vaccine</t>
        </is>
      </c>
      <c r="B13" s="16">
        <f>B3+14</f>
        <v/>
      </c>
      <c r="C13" s="10" t="inlineStr">
        <is>
          <t>If no immune-complex used</t>
        </is>
      </c>
      <c r="D13" s="10" t="n">
        <v>14</v>
      </c>
    </row>
    <row r="14">
      <c r="A14" s="10" t="inlineStr">
        <is>
          <t>Temperature 22°C</t>
        </is>
      </c>
      <c r="B14" s="16">
        <f>B3+21</f>
        <v/>
      </c>
      <c r="C14" s="10" t="inlineStr">
        <is>
          <t>Ensure ventilation adequate</t>
        </is>
      </c>
      <c r="D14" s="10" t="n">
        <v>21</v>
      </c>
    </row>
    <row r="15">
      <c r="A15" s="10" t="inlineStr">
        <is>
          <t>ND booster</t>
        </is>
      </c>
      <c r="B15" s="16">
        <f>B3+21</f>
        <v/>
      </c>
      <c r="C15" s="10" t="inlineStr">
        <is>
          <t>Drinking water</t>
        </is>
      </c>
      <c r="D15" s="10" t="n">
        <v>21</v>
      </c>
    </row>
    <row r="16">
      <c r="A16" s="10" t="inlineStr">
        <is>
          <t>Finisher feed starts</t>
        </is>
      </c>
      <c r="B16" s="16">
        <f>B3+25</f>
        <v/>
      </c>
      <c r="C16" s="10" t="inlineStr">
        <is>
          <t>Adjust to market target</t>
        </is>
      </c>
      <c r="D16" s="10" t="n">
        <v>25</v>
      </c>
    </row>
    <row r="17">
      <c r="A17" s="10" t="inlineStr">
        <is>
          <t>Pre-slaughter withdrawal (coccidiostats)</t>
        </is>
      </c>
      <c r="B17" s="16">
        <f>B3+35</f>
        <v/>
      </c>
      <c r="C17" s="10" t="inlineStr">
        <is>
          <t>Check label withdrawal</t>
        </is>
      </c>
      <c r="D17" s="10" t="n">
        <v>35</v>
      </c>
    </row>
    <row r="18">
      <c r="A18" s="10" t="inlineStr">
        <is>
          <t>Market / processing date</t>
        </is>
      </c>
      <c r="B18" s="16">
        <f>B3+42</f>
        <v/>
      </c>
      <c r="C18" s="10" t="inlineStr">
        <is>
          <t>Target live weight 2.3-2.5 kg</t>
        </is>
      </c>
      <c r="D18" s="10" t="n">
        <v>42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1E63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25" customWidth="1" min="4" max="4"/>
    <col width="18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30" customWidth="1" min="11" max="11"/>
  </cols>
  <sheetData>
    <row r="1" ht="28" customHeight="1">
      <c r="A1" s="13" t="inlineStr">
        <is>
          <t>Vaccination Calendar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Hatch Date:</t>
        </is>
      </c>
      <c r="B3" s="14">
        <f>Dashboard!B3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12" t="inlineStr">
        <is>
          <t>Day</t>
        </is>
      </c>
      <c r="B5" s="12" t="inlineStr">
        <is>
          <t>Bird Age</t>
        </is>
      </c>
      <c r="C5" s="12" t="inlineStr">
        <is>
          <t>Vaccine</t>
        </is>
      </c>
      <c r="D5" s="12" t="inlineStr">
        <is>
          <t>Disease</t>
        </is>
      </c>
      <c r="E5" s="12" t="inlineStr">
        <is>
          <t>Administration Method</t>
        </is>
      </c>
      <c r="F5" s="12" t="inlineStr">
        <is>
          <t>Booster</t>
        </is>
      </c>
      <c r="G5" s="12" t="inlineStr">
        <is>
          <t>Completed</t>
        </is>
      </c>
      <c r="H5" s="12" t="inlineStr">
        <is>
          <t>Batch Number</t>
        </is>
      </c>
      <c r="I5" s="12" t="inlineStr">
        <is>
          <t>Expiry Date</t>
        </is>
      </c>
      <c r="J5" s="12" t="inlineStr">
        <is>
          <t>Administrator</t>
        </is>
      </c>
      <c r="K5" s="12" t="inlineStr">
        <is>
          <t>Notes</t>
        </is>
      </c>
    </row>
    <row r="6">
      <c r="A6" s="17" t="n">
        <v>1</v>
      </c>
      <c r="B6" s="17" t="inlineStr">
        <is>
          <t>Day-old</t>
        </is>
      </c>
      <c r="C6" s="10" t="inlineStr">
        <is>
          <t>Marek's disease vaccine</t>
        </is>
      </c>
      <c r="D6" s="10" t="inlineStr">
        <is>
          <t>Marek's disease</t>
        </is>
      </c>
      <c r="E6" s="10" t="inlineStr">
        <is>
          <t>In ovo / Subcutaneous</t>
        </is>
      </c>
      <c r="F6" s="10" t="inlineStr">
        <is>
          <t>No</t>
        </is>
      </c>
      <c r="G6" s="10" t="inlineStr">
        <is>
          <t>No</t>
        </is>
      </c>
      <c r="H6" s="10" t="inlineStr"/>
      <c r="I6" s="10" t="inlineStr"/>
      <c r="J6" s="10" t="inlineStr"/>
      <c r="K6" s="10" t="inlineStr">
        <is>
          <t>Hatchery standard</t>
        </is>
      </c>
    </row>
    <row r="7">
      <c r="A7" s="17" t="n">
        <v>1</v>
      </c>
      <c r="B7" s="17" t="inlineStr">
        <is>
          <t>Day-old</t>
        </is>
      </c>
      <c r="C7" s="10" t="inlineStr">
        <is>
          <t>ND + IB (e.g., Nobilis ND C2 + IB Ma5)</t>
        </is>
      </c>
      <c r="D7" s="10" t="inlineStr">
        <is>
          <t>Newcastle + Infectious Bronchitis</t>
        </is>
      </c>
      <c r="E7" s="10" t="inlineStr">
        <is>
          <t>Coarse spray / Eye drop</t>
        </is>
      </c>
      <c r="F7" s="10" t="inlineStr">
        <is>
          <t>Yes</t>
        </is>
      </c>
      <c r="G7" s="10" t="inlineStr">
        <is>
          <t>No</t>
        </is>
      </c>
      <c r="H7" s="10" t="inlineStr"/>
      <c r="I7" s="10" t="inlineStr"/>
      <c r="J7" s="10" t="inlineStr"/>
      <c r="K7" s="10" t="inlineStr">
        <is>
          <t>Hatchery preferred</t>
        </is>
      </c>
    </row>
    <row r="8">
      <c r="A8" s="17" t="n">
        <v>1</v>
      </c>
      <c r="B8" s="17" t="inlineStr">
        <is>
          <t>Day-old</t>
        </is>
      </c>
      <c r="C8" s="10" t="inlineStr">
        <is>
          <t>IBD immune-complex (e.g., Transmune)</t>
        </is>
      </c>
      <c r="D8" s="10" t="inlineStr">
        <is>
          <t>Gumboro (IBD)</t>
        </is>
      </c>
      <c r="E8" s="10" t="inlineStr">
        <is>
          <t>Subcutaneous / In ovo</t>
        </is>
      </c>
      <c r="F8" s="10" t="inlineStr">
        <is>
          <t>No</t>
        </is>
      </c>
      <c r="G8" s="10" t="inlineStr">
        <is>
          <t>No</t>
        </is>
      </c>
      <c r="H8" s="10" t="inlineStr"/>
      <c r="I8" s="10" t="inlineStr"/>
      <c r="J8" s="10" t="inlineStr"/>
      <c r="K8" s="10" t="inlineStr">
        <is>
          <t>If hatchery service available</t>
        </is>
      </c>
    </row>
    <row r="9">
      <c r="A9" s="17" t="n">
        <v>1</v>
      </c>
      <c r="B9" s="17" t="inlineStr">
        <is>
          <t>Day-old</t>
        </is>
      </c>
      <c r="C9" s="10" t="inlineStr">
        <is>
          <t>Coccidiosis vaccine (e.g., Fortegra)</t>
        </is>
      </c>
      <c r="D9" s="10" t="inlineStr">
        <is>
          <t>Coccidiosis</t>
        </is>
      </c>
      <c r="E9" s="10" t="inlineStr">
        <is>
          <t>Coarse spray / Gel</t>
        </is>
      </c>
      <c r="F9" s="10" t="inlineStr">
        <is>
          <t>No</t>
        </is>
      </c>
      <c r="G9" s="10" t="inlineStr">
        <is>
          <t>No</t>
        </is>
      </c>
      <c r="H9" s="10" t="inlineStr"/>
      <c r="I9" s="10" t="inlineStr"/>
      <c r="J9" s="10" t="inlineStr"/>
      <c r="K9" s="10" t="inlineStr">
        <is>
          <t>Optional if bio-shuttle program</t>
        </is>
      </c>
    </row>
    <row r="10">
      <c r="A10" s="17" t="n">
        <v>10</v>
      </c>
      <c r="B10" s="17" t="inlineStr">
        <is>
          <t>10 days</t>
        </is>
      </c>
      <c r="C10" s="10" t="inlineStr">
        <is>
          <t>IB + ND booster (e.g., Nobilis IB MA5 + Clone 30)</t>
        </is>
      </c>
      <c r="D10" s="10" t="inlineStr">
        <is>
          <t>Infectious Bronchitis + Newcastle</t>
        </is>
      </c>
      <c r="E10" s="10" t="inlineStr">
        <is>
          <t>Drinking water / Spray</t>
        </is>
      </c>
      <c r="F10" s="10" t="inlineStr">
        <is>
          <t>No</t>
        </is>
      </c>
      <c r="G10" s="10" t="inlineStr">
        <is>
          <t>No</t>
        </is>
      </c>
      <c r="H10" s="10" t="inlineStr"/>
      <c r="I10" s="10" t="inlineStr"/>
      <c r="J10" s="10" t="inlineStr"/>
      <c r="K10" s="10" t="inlineStr">
        <is>
          <t>High-challenge areas</t>
        </is>
      </c>
    </row>
    <row r="11">
      <c r="A11" s="17" t="n">
        <v>14</v>
      </c>
      <c r="B11" s="17" t="inlineStr">
        <is>
          <t>14 days</t>
        </is>
      </c>
      <c r="C11" s="10" t="inlineStr">
        <is>
          <t>IBD live (e.g., Nobilis Gumboro D78)</t>
        </is>
      </c>
      <c r="D11" s="10" t="inlineStr">
        <is>
          <t>Gumboro (IBD)</t>
        </is>
      </c>
      <c r="E11" s="10" t="inlineStr">
        <is>
          <t>Drinking water</t>
        </is>
      </c>
      <c r="F11" s="10" t="inlineStr">
        <is>
          <t>No</t>
        </is>
      </c>
      <c r="G11" s="10" t="inlineStr">
        <is>
          <t>No</t>
        </is>
      </c>
      <c r="H11" s="10" t="inlineStr"/>
      <c r="I11" s="10" t="inlineStr"/>
      <c r="J11" s="10" t="inlineStr"/>
      <c r="K11" s="10" t="inlineStr">
        <is>
          <t>If not using immune-complex</t>
        </is>
      </c>
    </row>
    <row r="12">
      <c r="A12" s="17" t="n">
        <v>21</v>
      </c>
      <c r="B12" s="17" t="inlineStr">
        <is>
          <t>21 days</t>
        </is>
      </c>
      <c r="C12" s="10" t="inlineStr">
        <is>
          <t>ND booster (e.g., Clone 30 / LaSota)</t>
        </is>
      </c>
      <c r="D12" s="10" t="inlineStr">
        <is>
          <t>Newcastle disease</t>
        </is>
      </c>
      <c r="E12" s="10" t="inlineStr">
        <is>
          <t>Drinking water</t>
        </is>
      </c>
      <c r="F12" s="10" t="inlineStr">
        <is>
          <t>No</t>
        </is>
      </c>
      <c r="G12" s="10" t="inlineStr">
        <is>
          <t>No</t>
        </is>
      </c>
      <c r="H12" s="10" t="inlineStr"/>
      <c r="I12" s="10" t="inlineStr"/>
      <c r="J12" s="10" t="inlineStr"/>
      <c r="K12" s="10" t="inlineStr">
        <is>
          <t>Critical in high-challenge areas</t>
        </is>
      </c>
    </row>
    <row r="13">
      <c r="A13" s="17" t="n">
        <v>28</v>
      </c>
      <c r="B13" s="17" t="inlineStr">
        <is>
          <t>28 days</t>
        </is>
      </c>
      <c r="C13" s="10" t="inlineStr">
        <is>
          <t>ND booster (LaSota)</t>
        </is>
      </c>
      <c r="D13" s="10" t="inlineStr">
        <is>
          <t>Newcastle disease</t>
        </is>
      </c>
      <c r="E13" s="10" t="inlineStr">
        <is>
          <t>Drinking water</t>
        </is>
      </c>
      <c r="F13" s="10" t="inlineStr">
        <is>
          <t>No</t>
        </is>
      </c>
      <c r="G13" s="10" t="inlineStr">
        <is>
          <t>No</t>
        </is>
      </c>
      <c r="H13" s="10" t="inlineStr"/>
      <c r="I13" s="10" t="inlineStr"/>
      <c r="J13" s="10" t="inlineStr"/>
      <c r="K13" s="10" t="inlineStr">
        <is>
          <t>Only if kept &gt;42 days</t>
        </is>
      </c>
    </row>
  </sheetData>
  <mergeCells count="1">
    <mergeCell ref="A1:K1"/>
  </mergeCells>
  <dataValidations count="1">
    <dataValidation sqref="G6:G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5" customWidth="1" min="4" max="4"/>
    <col width="25" customWidth="1" min="5" max="5"/>
    <col width="12" customWidth="1" min="6" max="6"/>
    <col width="30" customWidth="1" min="7" max="7"/>
  </cols>
  <sheetData>
    <row r="1" ht="28" customHeight="1">
      <c r="A1" s="13" t="inlineStr">
        <is>
          <t>Daily Checklist - Day 0 to Day 49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Hatch Date:</t>
        </is>
      </c>
      <c r="B3" s="14">
        <f>Dashboard!B3</f>
        <v/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12" t="inlineStr">
        <is>
          <t>Day</t>
        </is>
      </c>
      <c r="B5" s="12" t="inlineStr">
        <is>
          <t>Date</t>
        </is>
      </c>
      <c r="C5" s="12" t="inlineStr">
        <is>
          <t>Morning Checks</t>
        </is>
      </c>
      <c r="D5" s="12" t="inlineStr">
        <is>
          <t>Evening Checks</t>
        </is>
      </c>
      <c r="E5" s="12" t="inlineStr">
        <is>
          <t>Feed/Water</t>
        </is>
      </c>
      <c r="F5" s="12" t="inlineStr">
        <is>
          <t>Done</t>
        </is>
      </c>
      <c r="G5" s="12" t="inlineStr">
        <is>
          <t>Notes</t>
        </is>
      </c>
    </row>
    <row r="6">
      <c r="A6" s="17" t="n">
        <v>0</v>
      </c>
      <c r="B6" s="18">
        <f>B3+0</f>
        <v/>
      </c>
      <c r="C6" s="10" t="inlineStr">
        <is>
          <t>Check crop fill; temp/humidity; litter; water temp; chick activity</t>
        </is>
      </c>
      <c r="D6" s="10" t="inlineStr">
        <is>
          <t>Check crop fill; temp/humidity; mortality; adjust brooders</t>
        </is>
      </c>
      <c r="E6" s="10" t="inlineStr">
        <is>
          <t>Record feed delivered &amp; consumed; record water consumption; check drinkers/nipples</t>
        </is>
      </c>
      <c r="F6" s="17" t="inlineStr">
        <is>
          <t>No</t>
        </is>
      </c>
      <c r="G6" s="10" t="inlineStr"/>
    </row>
    <row r="7">
      <c r="A7" s="17" t="n">
        <v>1</v>
      </c>
      <c r="B7" s="18">
        <f>B3+1</f>
        <v/>
      </c>
      <c r="C7" s="10" t="inlineStr">
        <is>
          <t>Check crop fill; temp/humidity; litter; water temp; chick activity</t>
        </is>
      </c>
      <c r="D7" s="10" t="inlineStr">
        <is>
          <t>Check crop fill; temp/humidity; mortality; adjust brooders</t>
        </is>
      </c>
      <c r="E7" s="10" t="inlineStr">
        <is>
          <t>Record feed delivered &amp; consumed; record water consumption; check drinkers/nipples; Hatchery vaccines administered; record batch numbers</t>
        </is>
      </c>
      <c r="F7" s="17" t="inlineStr">
        <is>
          <t>No</t>
        </is>
      </c>
      <c r="G7" s="10" t="inlineStr"/>
    </row>
    <row r="8">
      <c r="A8" s="17" t="n">
        <v>2</v>
      </c>
      <c r="B8" s="18">
        <f>B3+2</f>
        <v/>
      </c>
      <c r="C8" s="10" t="inlineStr">
        <is>
          <t>Check crop fill; temp/humidity; litter; water temp; chick activity</t>
        </is>
      </c>
      <c r="D8" s="10" t="inlineStr">
        <is>
          <t>Check crop fill; temp/humidity; mortality; adjust brooders</t>
        </is>
      </c>
      <c r="E8" s="10" t="inlineStr">
        <is>
          <t>Record feed delivered &amp; consumed; record water consumption; check drinkers/nipples</t>
        </is>
      </c>
      <c r="F8" s="17" t="inlineStr">
        <is>
          <t>No</t>
        </is>
      </c>
      <c r="G8" s="10" t="inlineStr"/>
    </row>
    <row r="9">
      <c r="A9" s="17" t="n">
        <v>3</v>
      </c>
      <c r="B9" s="18">
        <f>B3+3</f>
        <v/>
      </c>
      <c r="C9" s="10" t="inlineStr">
        <is>
          <t>Check crop fill; temp/humidity; litter; water temp; chick activity</t>
        </is>
      </c>
      <c r="D9" s="10" t="inlineStr">
        <is>
          <t>Check crop fill; temp/humidity; mortality; adjust brooders</t>
        </is>
      </c>
      <c r="E9" s="10" t="inlineStr">
        <is>
          <t>Record feed delivered &amp; consumed; record water consumption; check drinkers/nipples</t>
        </is>
      </c>
      <c r="F9" s="17" t="inlineStr">
        <is>
          <t>No</t>
        </is>
      </c>
      <c r="G9" s="10" t="inlineStr"/>
    </row>
    <row r="10">
      <c r="A10" s="17" t="n">
        <v>4</v>
      </c>
      <c r="B10" s="18">
        <f>B3+4</f>
        <v/>
      </c>
      <c r="C10" s="10" t="inlineStr">
        <is>
          <t>Temp/humidity; water/feed levels; litter; mortality; culls; ventilation</t>
        </is>
      </c>
      <c r="D10" s="10" t="inlineStr">
        <is>
          <t>Temp/humidity; water/feed; mortality; litter; light intensity</t>
        </is>
      </c>
      <c r="E10" s="10" t="inlineStr">
        <is>
          <t>Record feed delivered &amp; consumed; record water consumption; check drinkers/nipples</t>
        </is>
      </c>
      <c r="F10" s="17" t="inlineStr">
        <is>
          <t>No</t>
        </is>
      </c>
      <c r="G10" s="10" t="inlineStr"/>
    </row>
    <row r="11">
      <c r="A11" s="17" t="n">
        <v>5</v>
      </c>
      <c r="B11" s="18">
        <f>B3+5</f>
        <v/>
      </c>
      <c r="C11" s="10" t="inlineStr">
        <is>
          <t>Temp/humidity; water/feed levels; litter; mortality; culls; ventilation</t>
        </is>
      </c>
      <c r="D11" s="10" t="inlineStr">
        <is>
          <t>Temp/humidity; water/feed; mortality; litter; light intensity</t>
        </is>
      </c>
      <c r="E11" s="10" t="inlineStr">
        <is>
          <t>Record feed delivered &amp; consumed; record water consumption; check drinkers/nipples</t>
        </is>
      </c>
      <c r="F11" s="17" t="inlineStr">
        <is>
          <t>No</t>
        </is>
      </c>
      <c r="G11" s="10" t="inlineStr"/>
    </row>
    <row r="12">
      <c r="A12" s="17" t="n">
        <v>6</v>
      </c>
      <c r="B12" s="18">
        <f>B3+6</f>
        <v/>
      </c>
      <c r="C12" s="10" t="inlineStr">
        <is>
          <t>Temp/humidity; water/feed levels; litter; mortality; culls; ventilation</t>
        </is>
      </c>
      <c r="D12" s="10" t="inlineStr">
        <is>
          <t>Temp/humidity; water/feed; mortality; litter; light intensity</t>
        </is>
      </c>
      <c r="E12" s="10" t="inlineStr">
        <is>
          <t>Record feed delivered &amp; consumed; record water consumption; check drinkers/nipples</t>
        </is>
      </c>
      <c r="F12" s="17" t="inlineStr">
        <is>
          <t>No</t>
        </is>
      </c>
      <c r="G12" s="10" t="inlineStr"/>
    </row>
    <row r="13">
      <c r="A13" s="17" t="n">
        <v>7</v>
      </c>
      <c r="B13" s="18">
        <f>B3+7</f>
        <v/>
      </c>
      <c r="C13" s="10" t="inlineStr">
        <is>
          <t>Temp/humidity; water/feed levels; litter; mortality; culls; ventilation</t>
        </is>
      </c>
      <c r="D13" s="10" t="inlineStr">
        <is>
          <t>Temp/humidity; water/feed; mortality; litter; light intensity</t>
        </is>
      </c>
      <c r="E13" s="10" t="inlineStr">
        <is>
          <t>Record feed delivered &amp; consumed; record water consumption; check drinkers/nipples</t>
        </is>
      </c>
      <c r="F13" s="17" t="inlineStr">
        <is>
          <t>No</t>
        </is>
      </c>
      <c r="G13" s="10" t="inlineStr"/>
    </row>
    <row r="14">
      <c r="A14" s="17" t="n">
        <v>8</v>
      </c>
      <c r="B14" s="18">
        <f>B3+8</f>
        <v/>
      </c>
      <c r="C14" s="10" t="inlineStr">
        <is>
          <t>Temp/humidity; water/feed levels; litter; mortality; culls; ventilation</t>
        </is>
      </c>
      <c r="D14" s="10" t="inlineStr">
        <is>
          <t>Temp/humidity; water/feed; mortality; litter; light intensity</t>
        </is>
      </c>
      <c r="E14" s="10" t="inlineStr">
        <is>
          <t>Record feed delivered &amp; consumed; record water consumption; check drinkers/nipples</t>
        </is>
      </c>
      <c r="F14" s="17" t="inlineStr">
        <is>
          <t>No</t>
        </is>
      </c>
      <c r="G14" s="10" t="inlineStr"/>
    </row>
    <row r="15">
      <c r="A15" s="17" t="n">
        <v>9</v>
      </c>
      <c r="B15" s="18">
        <f>B3+9</f>
        <v/>
      </c>
      <c r="C15" s="10" t="inlineStr">
        <is>
          <t>Temp/humidity; water/feed levels; litter; mortality; culls; ventilation</t>
        </is>
      </c>
      <c r="D15" s="10" t="inlineStr">
        <is>
          <t>Temp/humidity; water/feed; mortality; litter; light intensity</t>
        </is>
      </c>
      <c r="E15" s="10" t="inlineStr">
        <is>
          <t>Record feed delivered &amp; consumed; record water consumption; check drinkers/nipples</t>
        </is>
      </c>
      <c r="F15" s="17" t="inlineStr">
        <is>
          <t>No</t>
        </is>
      </c>
      <c r="G15" s="10" t="inlineStr"/>
    </row>
    <row r="16">
      <c r="A16" s="17" t="n">
        <v>10</v>
      </c>
      <c r="B16" s="18">
        <f>B3+10</f>
        <v/>
      </c>
      <c r="C16" s="10" t="inlineStr">
        <is>
          <t>Temp/humidity; water/feed levels; litter; mortality; culls; ventilation</t>
        </is>
      </c>
      <c r="D16" s="10" t="inlineStr">
        <is>
          <t>Temp/humidity; water/feed; mortality; litter; light intensity</t>
        </is>
      </c>
      <c r="E16" s="10" t="inlineStr">
        <is>
          <t>Record feed delivered &amp; consumed; record water consumption; check drinkers/nipples; IB + ND booster if due</t>
        </is>
      </c>
      <c r="F16" s="17" t="inlineStr">
        <is>
          <t>No</t>
        </is>
      </c>
      <c r="G16" s="10" t="inlineStr"/>
    </row>
    <row r="17">
      <c r="A17" s="17" t="n">
        <v>11</v>
      </c>
      <c r="B17" s="18">
        <f>B3+11</f>
        <v/>
      </c>
      <c r="C17" s="10" t="inlineStr">
        <is>
          <t>Temp/humidity; water/feed levels; litter; mortality; culls; ventilation</t>
        </is>
      </c>
      <c r="D17" s="10" t="inlineStr">
        <is>
          <t>Temp/humidity; water/feed; mortality; litter; light intensity</t>
        </is>
      </c>
      <c r="E17" s="10" t="inlineStr">
        <is>
          <t>Record feed delivered &amp; consumed; record water consumption; check drinkers/nipples</t>
        </is>
      </c>
      <c r="F17" s="17" t="inlineStr">
        <is>
          <t>No</t>
        </is>
      </c>
      <c r="G17" s="10" t="inlineStr"/>
    </row>
    <row r="18">
      <c r="A18" s="17" t="n">
        <v>12</v>
      </c>
      <c r="B18" s="18">
        <f>B3+12</f>
        <v/>
      </c>
      <c r="C18" s="10" t="inlineStr">
        <is>
          <t>Temp/humidity; water/feed levels; litter; mortality; culls; ventilation</t>
        </is>
      </c>
      <c r="D18" s="10" t="inlineStr">
        <is>
          <t>Temp/humidity; water/feed; mortality; litter; light intensity</t>
        </is>
      </c>
      <c r="E18" s="10" t="inlineStr">
        <is>
          <t>Record feed delivered &amp; consumed; record water consumption; check drinkers/nipples</t>
        </is>
      </c>
      <c r="F18" s="17" t="inlineStr">
        <is>
          <t>No</t>
        </is>
      </c>
      <c r="G18" s="10" t="inlineStr"/>
    </row>
    <row r="19">
      <c r="A19" s="17" t="n">
        <v>13</v>
      </c>
      <c r="B19" s="18">
        <f>B3+13</f>
        <v/>
      </c>
      <c r="C19" s="10" t="inlineStr">
        <is>
          <t>Temp/humidity; water/feed levels; litter; mortality; culls; ventilation</t>
        </is>
      </c>
      <c r="D19" s="10" t="inlineStr">
        <is>
          <t>Temp/humidity; water/feed; mortality; litter; light intensity</t>
        </is>
      </c>
      <c r="E19" s="10" t="inlineStr">
        <is>
          <t>Record feed delivered &amp; consumed; record water consumption; check drinkers/nipples</t>
        </is>
      </c>
      <c r="F19" s="17" t="inlineStr">
        <is>
          <t>No</t>
        </is>
      </c>
      <c r="G19" s="10" t="inlineStr"/>
    </row>
    <row r="20">
      <c r="A20" s="17" t="n">
        <v>14</v>
      </c>
      <c r="B20" s="18">
        <f>B3+14</f>
        <v/>
      </c>
      <c r="C20" s="10" t="inlineStr">
        <is>
          <t>Temp/humidity; water/feed levels; litter; mortality; culls; ventilation</t>
        </is>
      </c>
      <c r="D20" s="10" t="inlineStr">
        <is>
          <t>Temp/humidity; water/feed; mortality; litter; light intensity</t>
        </is>
      </c>
      <c r="E20" s="10" t="inlineStr">
        <is>
          <t>Record feed delivered &amp; consumed; record water consumption; check drinkers/nipples; IBD live vaccine if due</t>
        </is>
      </c>
      <c r="F20" s="17" t="inlineStr">
        <is>
          <t>No</t>
        </is>
      </c>
      <c r="G20" s="10" t="inlineStr"/>
    </row>
    <row r="21">
      <c r="A21" s="17" t="n">
        <v>15</v>
      </c>
      <c r="B21" s="18">
        <f>B3+15</f>
        <v/>
      </c>
      <c r="C21" s="10" t="inlineStr">
        <is>
          <t>Temp/humidity; water/feed; litter; mortality; FCR check; ventilation</t>
        </is>
      </c>
      <c r="D21" s="10" t="inlineStr">
        <is>
          <t>Temp/humidity; water/feed; mortality; litter; inspect birds</t>
        </is>
      </c>
      <c r="E21" s="10" t="inlineStr">
        <is>
          <t>Record feed delivered &amp; consumed; record water consumption; check drinkers/nipples</t>
        </is>
      </c>
      <c r="F21" s="17" t="inlineStr">
        <is>
          <t>No</t>
        </is>
      </c>
      <c r="G21" s="10" t="inlineStr"/>
    </row>
    <row r="22">
      <c r="A22" s="17" t="n">
        <v>16</v>
      </c>
      <c r="B22" s="18">
        <f>B3+16</f>
        <v/>
      </c>
      <c r="C22" s="10" t="inlineStr">
        <is>
          <t>Temp/humidity; water/feed; litter; mortality; FCR check; ventilation</t>
        </is>
      </c>
      <c r="D22" s="10" t="inlineStr">
        <is>
          <t>Temp/humidity; water/feed; mortality; litter; inspect birds</t>
        </is>
      </c>
      <c r="E22" s="10" t="inlineStr">
        <is>
          <t>Record feed delivered &amp; consumed; record water consumption; check drinkers/nipples</t>
        </is>
      </c>
      <c r="F22" s="17" t="inlineStr">
        <is>
          <t>No</t>
        </is>
      </c>
      <c r="G22" s="10" t="inlineStr"/>
    </row>
    <row r="23">
      <c r="A23" s="17" t="n">
        <v>17</v>
      </c>
      <c r="B23" s="18">
        <f>B3+17</f>
        <v/>
      </c>
      <c r="C23" s="10" t="inlineStr">
        <is>
          <t>Temp/humidity; water/feed; litter; mortality; FCR check; ventilation</t>
        </is>
      </c>
      <c r="D23" s="10" t="inlineStr">
        <is>
          <t>Temp/humidity; water/feed; mortality; litter; inspect birds</t>
        </is>
      </c>
      <c r="E23" s="10" t="inlineStr">
        <is>
          <t>Record feed delivered &amp; consumed; record water consumption; check drinkers/nipples</t>
        </is>
      </c>
      <c r="F23" s="17" t="inlineStr">
        <is>
          <t>No</t>
        </is>
      </c>
      <c r="G23" s="10" t="inlineStr"/>
    </row>
    <row r="24">
      <c r="A24" s="17" t="n">
        <v>18</v>
      </c>
      <c r="B24" s="18">
        <f>B3+18</f>
        <v/>
      </c>
      <c r="C24" s="10" t="inlineStr">
        <is>
          <t>Temp/humidity; water/feed; litter; mortality; FCR check; ventilation</t>
        </is>
      </c>
      <c r="D24" s="10" t="inlineStr">
        <is>
          <t>Temp/humidity; water/feed; mortality; litter; inspect birds</t>
        </is>
      </c>
      <c r="E24" s="10" t="inlineStr">
        <is>
          <t>Record feed delivered &amp; consumed; record water consumption; check drinkers/nipples</t>
        </is>
      </c>
      <c r="F24" s="17" t="inlineStr">
        <is>
          <t>No</t>
        </is>
      </c>
      <c r="G24" s="10" t="inlineStr"/>
    </row>
    <row r="25">
      <c r="A25" s="17" t="n">
        <v>19</v>
      </c>
      <c r="B25" s="18">
        <f>B3+19</f>
        <v/>
      </c>
      <c r="C25" s="10" t="inlineStr">
        <is>
          <t>Temp/humidity; water/feed; litter; mortality; FCR check; ventilation</t>
        </is>
      </c>
      <c r="D25" s="10" t="inlineStr">
        <is>
          <t>Temp/humidity; water/feed; mortality; litter; inspect birds</t>
        </is>
      </c>
      <c r="E25" s="10" t="inlineStr">
        <is>
          <t>Record feed delivered &amp; consumed; record water consumption; check drinkers/nipples</t>
        </is>
      </c>
      <c r="F25" s="17" t="inlineStr">
        <is>
          <t>No</t>
        </is>
      </c>
      <c r="G25" s="10" t="inlineStr"/>
    </row>
    <row r="26">
      <c r="A26" s="17" t="n">
        <v>20</v>
      </c>
      <c r="B26" s="18">
        <f>B3+20</f>
        <v/>
      </c>
      <c r="C26" s="10" t="inlineStr">
        <is>
          <t>Temp/humidity; water/feed; litter; mortality; FCR check; ventilation</t>
        </is>
      </c>
      <c r="D26" s="10" t="inlineStr">
        <is>
          <t>Temp/humidity; water/feed; mortality; litter; inspect birds</t>
        </is>
      </c>
      <c r="E26" s="10" t="inlineStr">
        <is>
          <t>Record feed delivered &amp; consumed; record water consumption; check drinkers/nipples</t>
        </is>
      </c>
      <c r="F26" s="17" t="inlineStr">
        <is>
          <t>No</t>
        </is>
      </c>
      <c r="G26" s="10" t="inlineStr"/>
    </row>
    <row r="27">
      <c r="A27" s="17" t="n">
        <v>21</v>
      </c>
      <c r="B27" s="18">
        <f>B3+21</f>
        <v/>
      </c>
      <c r="C27" s="10" t="inlineStr">
        <is>
          <t>Temp/humidity; water/feed; litter; mortality; FCR check; ventilation</t>
        </is>
      </c>
      <c r="D27" s="10" t="inlineStr">
        <is>
          <t>Temp/humidity; water/feed; mortality; litter; inspect birds</t>
        </is>
      </c>
      <c r="E27" s="10" t="inlineStr">
        <is>
          <t>Record feed delivered &amp; consumed; record water consumption; check drinkers/nipples; ND booster if due</t>
        </is>
      </c>
      <c r="F27" s="17" t="inlineStr">
        <is>
          <t>No</t>
        </is>
      </c>
      <c r="G27" s="10" t="inlineStr"/>
    </row>
    <row r="28">
      <c r="A28" s="17" t="n">
        <v>22</v>
      </c>
      <c r="B28" s="18">
        <f>B3+22</f>
        <v/>
      </c>
      <c r="C28" s="10" t="inlineStr">
        <is>
          <t>Temp/humidity; water/feed; litter; mortality; FCR check; ventilation</t>
        </is>
      </c>
      <c r="D28" s="10" t="inlineStr">
        <is>
          <t>Temp/humidity; water/feed; mortality; litter; inspect birds</t>
        </is>
      </c>
      <c r="E28" s="10" t="inlineStr">
        <is>
          <t>Record feed delivered &amp; consumed; record water consumption; check drinkers/nipples</t>
        </is>
      </c>
      <c r="F28" s="17" t="inlineStr">
        <is>
          <t>No</t>
        </is>
      </c>
      <c r="G28" s="10" t="inlineStr"/>
    </row>
    <row r="29">
      <c r="A29" s="17" t="n">
        <v>23</v>
      </c>
      <c r="B29" s="18">
        <f>B3+23</f>
        <v/>
      </c>
      <c r="C29" s="10" t="inlineStr">
        <is>
          <t>Temp/humidity; water/feed; litter; mortality; FCR check; ventilation</t>
        </is>
      </c>
      <c r="D29" s="10" t="inlineStr">
        <is>
          <t>Temp/humidity; water/feed; mortality; litter; inspect birds</t>
        </is>
      </c>
      <c r="E29" s="10" t="inlineStr">
        <is>
          <t>Record feed delivered &amp; consumed; record water consumption; check drinkers/nipples</t>
        </is>
      </c>
      <c r="F29" s="17" t="inlineStr">
        <is>
          <t>No</t>
        </is>
      </c>
      <c r="G29" s="10" t="inlineStr"/>
    </row>
    <row r="30">
      <c r="A30" s="17" t="n">
        <v>24</v>
      </c>
      <c r="B30" s="18">
        <f>B3+24</f>
        <v/>
      </c>
      <c r="C30" s="10" t="inlineStr">
        <is>
          <t>Temp/humidity; water/feed; litter; mortality; FCR check; ventilation</t>
        </is>
      </c>
      <c r="D30" s="10" t="inlineStr">
        <is>
          <t>Temp/humidity; water/feed; mortality; litter; inspect birds</t>
        </is>
      </c>
      <c r="E30" s="10" t="inlineStr">
        <is>
          <t>Record feed delivered &amp; consumed; record water consumption; check drinkers/nipples</t>
        </is>
      </c>
      <c r="F30" s="17" t="inlineStr">
        <is>
          <t>No</t>
        </is>
      </c>
      <c r="G30" s="10" t="inlineStr"/>
    </row>
    <row r="31">
      <c r="A31" s="17" t="n">
        <v>25</v>
      </c>
      <c r="B31" s="18">
        <f>B3+25</f>
        <v/>
      </c>
      <c r="C31" s="10" t="inlineStr">
        <is>
          <t>Temp/humidity; water/feed; litter; mortality; FCR check; ventilation</t>
        </is>
      </c>
      <c r="D31" s="10" t="inlineStr">
        <is>
          <t>Temp/humidity; water/feed; mortality; litter; inspect birds</t>
        </is>
      </c>
      <c r="E31" s="10" t="inlineStr">
        <is>
          <t>Record feed delivered &amp; consumed; record water consumption; check drinkers/nipples</t>
        </is>
      </c>
      <c r="F31" s="17" t="inlineStr">
        <is>
          <t>No</t>
        </is>
      </c>
      <c r="G31" s="10" t="inlineStr"/>
    </row>
    <row r="32">
      <c r="A32" s="17" t="n">
        <v>26</v>
      </c>
      <c r="B32" s="18">
        <f>B3+26</f>
        <v/>
      </c>
      <c r="C32" s="10" t="inlineStr">
        <is>
          <t>Temp/humidity; water/feed; litter; mortality; FCR check; ventilation</t>
        </is>
      </c>
      <c r="D32" s="10" t="inlineStr">
        <is>
          <t>Temp/humidity; water/feed; mortality; litter; inspect birds</t>
        </is>
      </c>
      <c r="E32" s="10" t="inlineStr">
        <is>
          <t>Record feed delivered &amp; consumed; record water consumption; check drinkers/nipples</t>
        </is>
      </c>
      <c r="F32" s="17" t="inlineStr">
        <is>
          <t>No</t>
        </is>
      </c>
      <c r="G32" s="10" t="inlineStr"/>
    </row>
    <row r="33">
      <c r="A33" s="17" t="n">
        <v>27</v>
      </c>
      <c r="B33" s="18">
        <f>B3+27</f>
        <v/>
      </c>
      <c r="C33" s="10" t="inlineStr">
        <is>
          <t>Temp/humidity; water/feed; litter; mortality; FCR check; ventilation</t>
        </is>
      </c>
      <c r="D33" s="10" t="inlineStr">
        <is>
          <t>Temp/humidity; water/feed; mortality; litter; inspect birds</t>
        </is>
      </c>
      <c r="E33" s="10" t="inlineStr">
        <is>
          <t>Record feed delivered &amp; consumed; record water consumption; check drinkers/nipples</t>
        </is>
      </c>
      <c r="F33" s="17" t="inlineStr">
        <is>
          <t>No</t>
        </is>
      </c>
      <c r="G33" s="10" t="inlineStr"/>
    </row>
    <row r="34">
      <c r="A34" s="17" t="n">
        <v>28</v>
      </c>
      <c r="B34" s="18">
        <f>B3+28</f>
        <v/>
      </c>
      <c r="C34" s="10" t="inlineStr">
        <is>
          <t>Temp/humidity; water/feed; litter; mortality; FCR check; ventilation</t>
        </is>
      </c>
      <c r="D34" s="10" t="inlineStr">
        <is>
          <t>Temp/humidity; water/feed; mortality; litter; inspect birds</t>
        </is>
      </c>
      <c r="E34" s="10" t="inlineStr">
        <is>
          <t>Record feed delivered &amp; consumed; record water consumption; check drinkers/nipples; ND booster if keeping &gt;42 days</t>
        </is>
      </c>
      <c r="F34" s="17" t="inlineStr">
        <is>
          <t>No</t>
        </is>
      </c>
      <c r="G34" s="10" t="inlineStr"/>
    </row>
    <row r="35">
      <c r="A35" s="17" t="n">
        <v>29</v>
      </c>
      <c r="B35" s="18">
        <f>B3+29</f>
        <v/>
      </c>
      <c r="C35" s="10" t="inlineStr">
        <is>
          <t>Temp/humidity; water/feed; litter; mortality; pre-slaughter checks</t>
        </is>
      </c>
      <c r="D35" s="10" t="inlineStr">
        <is>
          <t>Temp/humidity; water/feed; mortality; litter; ventilation fans</t>
        </is>
      </c>
      <c r="E35" s="10" t="inlineStr">
        <is>
          <t>Record feed delivered &amp; consumed; record water consumption; check drinkers/nipples</t>
        </is>
      </c>
      <c r="F35" s="17" t="inlineStr">
        <is>
          <t>No</t>
        </is>
      </c>
      <c r="G35" s="10" t="inlineStr"/>
    </row>
    <row r="36">
      <c r="A36" s="17" t="n">
        <v>30</v>
      </c>
      <c r="B36" s="18">
        <f>B3+30</f>
        <v/>
      </c>
      <c r="C36" s="10" t="inlineStr">
        <is>
          <t>Temp/humidity; water/feed; litter; mortality; pre-slaughter checks</t>
        </is>
      </c>
      <c r="D36" s="10" t="inlineStr">
        <is>
          <t>Temp/humidity; water/feed; mortality; litter; ventilation fans</t>
        </is>
      </c>
      <c r="E36" s="10" t="inlineStr">
        <is>
          <t>Record feed delivered &amp; consumed; record water consumption; check drinkers/nipples</t>
        </is>
      </c>
      <c r="F36" s="17" t="inlineStr">
        <is>
          <t>No</t>
        </is>
      </c>
      <c r="G36" s="10" t="inlineStr"/>
    </row>
    <row r="37">
      <c r="A37" s="17" t="n">
        <v>31</v>
      </c>
      <c r="B37" s="18">
        <f>B3+31</f>
        <v/>
      </c>
      <c r="C37" s="10" t="inlineStr">
        <is>
          <t>Temp/humidity; water/feed; litter; mortality; pre-slaughter checks</t>
        </is>
      </c>
      <c r="D37" s="10" t="inlineStr">
        <is>
          <t>Temp/humidity; water/feed; mortality; litter; ventilation fans</t>
        </is>
      </c>
      <c r="E37" s="10" t="inlineStr">
        <is>
          <t>Record feed delivered &amp; consumed; record water consumption; check drinkers/nipples</t>
        </is>
      </c>
      <c r="F37" s="17" t="inlineStr">
        <is>
          <t>No</t>
        </is>
      </c>
      <c r="G37" s="10" t="inlineStr"/>
    </row>
    <row r="38">
      <c r="A38" s="17" t="n">
        <v>32</v>
      </c>
      <c r="B38" s="18">
        <f>B3+32</f>
        <v/>
      </c>
      <c r="C38" s="10" t="inlineStr">
        <is>
          <t>Temp/humidity; water/feed; litter; mortality; pre-slaughter checks</t>
        </is>
      </c>
      <c r="D38" s="10" t="inlineStr">
        <is>
          <t>Temp/humidity; water/feed; mortality; litter; ventilation fans</t>
        </is>
      </c>
      <c r="E38" s="10" t="inlineStr">
        <is>
          <t>Record feed delivered &amp; consumed; record water consumption; check drinkers/nipples</t>
        </is>
      </c>
      <c r="F38" s="17" t="inlineStr">
        <is>
          <t>No</t>
        </is>
      </c>
      <c r="G38" s="10" t="inlineStr"/>
    </row>
    <row r="39">
      <c r="A39" s="17" t="n">
        <v>33</v>
      </c>
      <c r="B39" s="18">
        <f>B3+33</f>
        <v/>
      </c>
      <c r="C39" s="10" t="inlineStr">
        <is>
          <t>Temp/humidity; water/feed; litter; mortality; pre-slaughter checks</t>
        </is>
      </c>
      <c r="D39" s="10" t="inlineStr">
        <is>
          <t>Temp/humidity; water/feed; mortality; litter; ventilation fans</t>
        </is>
      </c>
      <c r="E39" s="10" t="inlineStr">
        <is>
          <t>Record feed delivered &amp; consumed; record water consumption; check drinkers/nipples</t>
        </is>
      </c>
      <c r="F39" s="17" t="inlineStr">
        <is>
          <t>No</t>
        </is>
      </c>
      <c r="G39" s="10" t="inlineStr"/>
    </row>
    <row r="40">
      <c r="A40" s="17" t="n">
        <v>34</v>
      </c>
      <c r="B40" s="18">
        <f>B3+34</f>
        <v/>
      </c>
      <c r="C40" s="10" t="inlineStr">
        <is>
          <t>Temp/humidity; water/feed; litter; mortality; pre-slaughter checks</t>
        </is>
      </c>
      <c r="D40" s="10" t="inlineStr">
        <is>
          <t>Temp/humidity; water/feed; mortality; litter; ventilation fans</t>
        </is>
      </c>
      <c r="E40" s="10" t="inlineStr">
        <is>
          <t>Record feed delivered &amp; consumed; record water consumption; check drinkers/nipples</t>
        </is>
      </c>
      <c r="F40" s="17" t="inlineStr">
        <is>
          <t>No</t>
        </is>
      </c>
      <c r="G40" s="10" t="inlineStr"/>
    </row>
    <row r="41">
      <c r="A41" s="17" t="n">
        <v>35</v>
      </c>
      <c r="B41" s="18">
        <f>B3+35</f>
        <v/>
      </c>
      <c r="C41" s="10" t="inlineStr">
        <is>
          <t>Temp/humidity; water/feed; litter; mortality; pre-slaughter checks</t>
        </is>
      </c>
      <c r="D41" s="10" t="inlineStr">
        <is>
          <t>Temp/humidity; water/feed; mortality; litter; ventilation fans</t>
        </is>
      </c>
      <c r="E41" s="10" t="inlineStr">
        <is>
          <t>Record feed delivered &amp; consumed; record water consumption; check drinkers/nipples; Check medication withdrawal periods</t>
        </is>
      </c>
      <c r="F41" s="17" t="inlineStr">
        <is>
          <t>No</t>
        </is>
      </c>
      <c r="G41" s="10" t="inlineStr"/>
    </row>
    <row r="42">
      <c r="A42" s="17" t="n">
        <v>36</v>
      </c>
      <c r="B42" s="18">
        <f>B3+36</f>
        <v/>
      </c>
      <c r="C42" s="10" t="inlineStr">
        <is>
          <t>Temp/humidity; water/feed; litter; mortality; pre-slaughter checks</t>
        </is>
      </c>
      <c r="D42" s="10" t="inlineStr">
        <is>
          <t>Temp/humidity; water/feed; mortality; litter; ventilation fans</t>
        </is>
      </c>
      <c r="E42" s="10" t="inlineStr">
        <is>
          <t>Record feed delivered &amp; consumed; record water consumption; check drinkers/nipples</t>
        </is>
      </c>
      <c r="F42" s="17" t="inlineStr">
        <is>
          <t>No</t>
        </is>
      </c>
      <c r="G42" s="10" t="inlineStr"/>
    </row>
    <row r="43">
      <c r="A43" s="17" t="n">
        <v>37</v>
      </c>
      <c r="B43" s="18">
        <f>B3+37</f>
        <v/>
      </c>
      <c r="C43" s="10" t="inlineStr">
        <is>
          <t>Temp/humidity; water/feed; litter; mortality; pre-slaughter checks</t>
        </is>
      </c>
      <c r="D43" s="10" t="inlineStr">
        <is>
          <t>Temp/humidity; water/feed; mortality; litter; ventilation fans</t>
        </is>
      </c>
      <c r="E43" s="10" t="inlineStr">
        <is>
          <t>Record feed delivered &amp; consumed; record water consumption; check drinkers/nipples</t>
        </is>
      </c>
      <c r="F43" s="17" t="inlineStr">
        <is>
          <t>No</t>
        </is>
      </c>
      <c r="G43" s="10" t="inlineStr"/>
    </row>
    <row r="44">
      <c r="A44" s="17" t="n">
        <v>38</v>
      </c>
      <c r="B44" s="18">
        <f>B3+38</f>
        <v/>
      </c>
      <c r="C44" s="10" t="inlineStr">
        <is>
          <t>Temp/humidity; water/feed; litter; mortality; pre-slaughter checks</t>
        </is>
      </c>
      <c r="D44" s="10" t="inlineStr">
        <is>
          <t>Temp/humidity; water/feed; mortality; litter; ventilation fans</t>
        </is>
      </c>
      <c r="E44" s="10" t="inlineStr">
        <is>
          <t>Record feed delivered &amp; consumed; record water consumption; check drinkers/nipples</t>
        </is>
      </c>
      <c r="F44" s="17" t="inlineStr">
        <is>
          <t>No</t>
        </is>
      </c>
      <c r="G44" s="10" t="inlineStr"/>
    </row>
    <row r="45">
      <c r="A45" s="17" t="n">
        <v>39</v>
      </c>
      <c r="B45" s="18">
        <f>B3+39</f>
        <v/>
      </c>
      <c r="C45" s="10" t="inlineStr">
        <is>
          <t>Temp/humidity; water/feed; litter; mortality; pre-slaughter checks</t>
        </is>
      </c>
      <c r="D45" s="10" t="inlineStr">
        <is>
          <t>Temp/humidity; water/feed; mortality; litter; ventilation fans</t>
        </is>
      </c>
      <c r="E45" s="10" t="inlineStr">
        <is>
          <t>Record feed delivered &amp; consumed; record water consumption; check drinkers/nipples</t>
        </is>
      </c>
      <c r="F45" s="17" t="inlineStr">
        <is>
          <t>No</t>
        </is>
      </c>
      <c r="G45" s="10" t="inlineStr"/>
    </row>
    <row r="46">
      <c r="A46" s="17" t="n">
        <v>40</v>
      </c>
      <c r="B46" s="18">
        <f>B3+40</f>
        <v/>
      </c>
      <c r="C46" s="10" t="inlineStr">
        <is>
          <t>Temp/humidity; water/feed; litter; mortality; pre-slaughter checks</t>
        </is>
      </c>
      <c r="D46" s="10" t="inlineStr">
        <is>
          <t>Temp/humidity; water/feed; mortality; litter; ventilation fans</t>
        </is>
      </c>
      <c r="E46" s="10" t="inlineStr">
        <is>
          <t>Record feed delivered &amp; consumed; record water consumption; check drinkers/nipples</t>
        </is>
      </c>
      <c r="F46" s="17" t="inlineStr">
        <is>
          <t>No</t>
        </is>
      </c>
      <c r="G46" s="10" t="inlineStr"/>
    </row>
    <row r="47">
      <c r="A47" s="17" t="n">
        <v>41</v>
      </c>
      <c r="B47" s="18">
        <f>B3+41</f>
        <v/>
      </c>
      <c r="C47" s="10" t="inlineStr">
        <is>
          <t>Temp/humidity; water/feed; litter; mortality; pre-slaughter checks</t>
        </is>
      </c>
      <c r="D47" s="10" t="inlineStr">
        <is>
          <t>Temp/humidity; water/feed; mortality; litter; ventilation fans</t>
        </is>
      </c>
      <c r="E47" s="10" t="inlineStr">
        <is>
          <t>Record feed delivered &amp; consumed; record water consumption; check drinkers/nipples</t>
        </is>
      </c>
      <c r="F47" s="17" t="inlineStr">
        <is>
          <t>No</t>
        </is>
      </c>
      <c r="G47" s="10" t="inlineStr"/>
    </row>
    <row r="48">
      <c r="A48" s="17" t="n">
        <v>42</v>
      </c>
      <c r="B48" s="18">
        <f>B3+42</f>
        <v/>
      </c>
      <c r="C48" s="10" t="inlineStr">
        <is>
          <t>Temp/humidity; water/feed; litter; mortality; pre-slaughter checks</t>
        </is>
      </c>
      <c r="D48" s="10" t="inlineStr">
        <is>
          <t>Temp/humidity; water/feed; mortality; litter; ventilation fans</t>
        </is>
      </c>
      <c r="E48" s="10" t="inlineStr">
        <is>
          <t>Record feed delivered &amp; consumed; record water consumption; check drinkers/nipples; Market day / processing preparations</t>
        </is>
      </c>
      <c r="F48" s="17" t="inlineStr">
        <is>
          <t>No</t>
        </is>
      </c>
      <c r="G48" s="10" t="inlineStr"/>
    </row>
    <row r="49">
      <c r="A49" s="17" t="n">
        <v>43</v>
      </c>
      <c r="B49" s="18">
        <f>B3+43</f>
        <v/>
      </c>
      <c r="C49" s="10" t="inlineStr">
        <is>
          <t>Temp/humidity; water/feed; litter; mortality; pre-slaughter checks</t>
        </is>
      </c>
      <c r="D49" s="10" t="inlineStr">
        <is>
          <t>Temp/humidity; water/feed; mortality; litter; ventilation fans</t>
        </is>
      </c>
      <c r="E49" s="10" t="inlineStr">
        <is>
          <t>Record feed delivered &amp; consumed; record water consumption; check drinkers/nipples</t>
        </is>
      </c>
      <c r="F49" s="17" t="inlineStr">
        <is>
          <t>No</t>
        </is>
      </c>
      <c r="G49" s="10" t="inlineStr"/>
    </row>
    <row r="50">
      <c r="A50" s="17" t="n">
        <v>44</v>
      </c>
      <c r="B50" s="18">
        <f>B3+44</f>
        <v/>
      </c>
      <c r="C50" s="10" t="inlineStr">
        <is>
          <t>Temp/humidity; water/feed; litter; mortality; pre-slaughter checks</t>
        </is>
      </c>
      <c r="D50" s="10" t="inlineStr">
        <is>
          <t>Temp/humidity; water/feed; mortality; litter; ventilation fans</t>
        </is>
      </c>
      <c r="E50" s="10" t="inlineStr">
        <is>
          <t>Record feed delivered &amp; consumed; record water consumption; check drinkers/nipples</t>
        </is>
      </c>
      <c r="F50" s="17" t="inlineStr">
        <is>
          <t>No</t>
        </is>
      </c>
      <c r="G50" s="10" t="inlineStr"/>
    </row>
    <row r="51">
      <c r="A51" s="17" t="n">
        <v>45</v>
      </c>
      <c r="B51" s="18">
        <f>B3+45</f>
        <v/>
      </c>
      <c r="C51" s="10" t="inlineStr">
        <is>
          <t>Temp/humidity; water/feed; litter; mortality; pre-slaughter checks</t>
        </is>
      </c>
      <c r="D51" s="10" t="inlineStr">
        <is>
          <t>Temp/humidity; water/feed; mortality; litter; ventilation fans</t>
        </is>
      </c>
      <c r="E51" s="10" t="inlineStr">
        <is>
          <t>Record feed delivered &amp; consumed; record water consumption; check drinkers/nipples</t>
        </is>
      </c>
      <c r="F51" s="17" t="inlineStr">
        <is>
          <t>No</t>
        </is>
      </c>
      <c r="G51" s="10" t="inlineStr"/>
    </row>
    <row r="52">
      <c r="A52" s="17" t="n">
        <v>46</v>
      </c>
      <c r="B52" s="18">
        <f>B3+46</f>
        <v/>
      </c>
      <c r="C52" s="10" t="inlineStr">
        <is>
          <t>Temp/humidity; water/feed; litter; mortality; pre-slaughter checks</t>
        </is>
      </c>
      <c r="D52" s="10" t="inlineStr">
        <is>
          <t>Temp/humidity; water/feed; mortality; litter; ventilation fans</t>
        </is>
      </c>
      <c r="E52" s="10" t="inlineStr">
        <is>
          <t>Record feed delivered &amp; consumed; record water consumption; check drinkers/nipples</t>
        </is>
      </c>
      <c r="F52" s="17" t="inlineStr">
        <is>
          <t>No</t>
        </is>
      </c>
      <c r="G52" s="10" t="inlineStr"/>
    </row>
    <row r="53">
      <c r="A53" s="17" t="n">
        <v>47</v>
      </c>
      <c r="B53" s="18">
        <f>B3+47</f>
        <v/>
      </c>
      <c r="C53" s="10" t="inlineStr">
        <is>
          <t>Temp/humidity; water/feed; litter; mortality; pre-slaughter checks</t>
        </is>
      </c>
      <c r="D53" s="10" t="inlineStr">
        <is>
          <t>Temp/humidity; water/feed; mortality; litter; ventilation fans</t>
        </is>
      </c>
      <c r="E53" s="10" t="inlineStr">
        <is>
          <t>Record feed delivered &amp; consumed; record water consumption; check drinkers/nipples</t>
        </is>
      </c>
      <c r="F53" s="17" t="inlineStr">
        <is>
          <t>No</t>
        </is>
      </c>
      <c r="G53" s="10" t="inlineStr"/>
    </row>
    <row r="54">
      <c r="A54" s="17" t="n">
        <v>48</v>
      </c>
      <c r="B54" s="18">
        <f>B3+48</f>
        <v/>
      </c>
      <c r="C54" s="10" t="inlineStr">
        <is>
          <t>Temp/humidity; water/feed; litter; mortality; pre-slaughter checks</t>
        </is>
      </c>
      <c r="D54" s="10" t="inlineStr">
        <is>
          <t>Temp/humidity; water/feed; mortality; litter; ventilation fans</t>
        </is>
      </c>
      <c r="E54" s="10" t="inlineStr">
        <is>
          <t>Record feed delivered &amp; consumed; record water consumption; check drinkers/nipples</t>
        </is>
      </c>
      <c r="F54" s="17" t="inlineStr">
        <is>
          <t>No</t>
        </is>
      </c>
      <c r="G54" s="10" t="inlineStr"/>
    </row>
    <row r="55">
      <c r="A55" s="17" t="n">
        <v>49</v>
      </c>
      <c r="B55" s="18">
        <f>B3+49</f>
        <v/>
      </c>
      <c r="C55" s="10" t="inlineStr">
        <is>
          <t>Temp/humidity; water/feed; litter; mortality; pre-slaughter checks</t>
        </is>
      </c>
      <c r="D55" s="10" t="inlineStr">
        <is>
          <t>Temp/humidity; water/feed; mortality; litter; ventilation fans</t>
        </is>
      </c>
      <c r="E55" s="10" t="inlineStr">
        <is>
          <t>Record feed delivered &amp; consumed; record water consumption; check drinkers/nipples</t>
        </is>
      </c>
      <c r="F55" s="17" t="inlineStr">
        <is>
          <t>No</t>
        </is>
      </c>
      <c r="G55" s="10" t="inlineStr"/>
    </row>
  </sheetData>
  <mergeCells count="1">
    <mergeCell ref="A1:G1"/>
  </mergeCells>
  <dataValidations count="1">
    <dataValidation sqref="F6:F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30" customWidth="1" min="9" max="9"/>
  </cols>
  <sheetData>
    <row r="1" ht="28" customHeight="1">
      <c r="A1" s="13" t="inlineStr">
        <is>
          <t>Weekly Weights and Growth Monitoring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2" t="inlineStr">
        <is>
          <t>Day</t>
        </is>
      </c>
      <c r="B3" s="12" t="inlineStr">
        <is>
          <t>Expected Wt (g)</t>
        </is>
      </c>
      <c r="C3" s="12" t="inlineStr">
        <is>
          <t>Actual Wt (g)</t>
        </is>
      </c>
      <c r="D3" s="12" t="inlineStr">
        <is>
          <t>Variance (g)</t>
        </is>
      </c>
      <c r="E3" s="12" t="inlineStr">
        <is>
          <t>Variance %</t>
        </is>
      </c>
      <c r="F3" s="12" t="inlineStr">
        <is>
          <t>Daily Gain</t>
        </is>
      </c>
      <c r="G3" s="12" t="inlineStr">
        <is>
          <t>Actual Daily Gain</t>
        </is>
      </c>
      <c r="H3" s="12" t="inlineStr">
        <is>
          <t>Uniformity CV%</t>
        </is>
      </c>
      <c r="I3" s="12" t="inlineStr">
        <is>
          <t>Notes</t>
        </is>
      </c>
    </row>
    <row r="4">
      <c r="A4" s="17" t="n">
        <v>0</v>
      </c>
      <c r="B4" s="19">
        <f>IFERROR(VLOOKUP(A4,PerfData!$A$2:$B$51,2,FALSE),"")</f>
        <v/>
      </c>
      <c r="C4" s="20" t="inlineStr"/>
      <c r="D4" s="19">
        <f>IF(OR(C4="",B4=""),"",C4-B4)</f>
        <v/>
      </c>
      <c r="E4" s="21">
        <f>IF(OR(C4="",B4="",B4=0),"",D4/B4)</f>
        <v/>
      </c>
      <c r="F4" s="19">
        <f>IFERROR(VLOOKUP(A4,PerfData!$A$2:$C$51,3,FALSE),"")</f>
        <v/>
      </c>
      <c r="G4" s="19">
        <f>IF(OR(C4="",A4=0),"",IF(A4=0,"",C4/A4))</f>
        <v/>
      </c>
      <c r="H4" s="20" t="inlineStr"/>
      <c r="I4" s="10" t="inlineStr"/>
    </row>
    <row r="5">
      <c r="A5" s="17" t="n">
        <v>7</v>
      </c>
      <c r="B5" s="19">
        <f>IFERROR(VLOOKUP(A5,PerfData!$A$2:$B$51,2,FALSE),"")</f>
        <v/>
      </c>
      <c r="C5" s="20" t="inlineStr"/>
      <c r="D5" s="19">
        <f>IF(OR(C5="",B5=""),"",C5-B5)</f>
        <v/>
      </c>
      <c r="E5" s="21">
        <f>IF(OR(C5="",B5="",B5=0),"",D5/B5)</f>
        <v/>
      </c>
      <c r="F5" s="19">
        <f>IFERROR(VLOOKUP(A5,PerfData!$A$2:$C$51,3,FALSE),"")</f>
        <v/>
      </c>
      <c r="G5" s="19">
        <f>IF(OR(C5="",A5=0),"",IF(A5=0,"",C5/A5))</f>
        <v/>
      </c>
      <c r="H5" s="20" t="inlineStr"/>
      <c r="I5" s="10" t="inlineStr"/>
    </row>
    <row r="6">
      <c r="A6" s="17" t="n">
        <v>14</v>
      </c>
      <c r="B6" s="19">
        <f>IFERROR(VLOOKUP(A6,PerfData!$A$2:$B$51,2,FALSE),"")</f>
        <v/>
      </c>
      <c r="C6" s="20" t="inlineStr"/>
      <c r="D6" s="19">
        <f>IF(OR(C6="",B6=""),"",C6-B6)</f>
        <v/>
      </c>
      <c r="E6" s="21">
        <f>IF(OR(C6="",B6="",B6=0),"",D6/B6)</f>
        <v/>
      </c>
      <c r="F6" s="19">
        <f>IFERROR(VLOOKUP(A6,PerfData!$A$2:$C$51,3,FALSE),"")</f>
        <v/>
      </c>
      <c r="G6" s="19">
        <f>IF(OR(C6="",A6=0),"",IF(A6=0,"",C6/A6))</f>
        <v/>
      </c>
      <c r="H6" s="20" t="inlineStr"/>
      <c r="I6" s="10" t="inlineStr"/>
    </row>
    <row r="7">
      <c r="A7" s="17" t="n">
        <v>21</v>
      </c>
      <c r="B7" s="19">
        <f>IFERROR(VLOOKUP(A7,PerfData!$A$2:$B$51,2,FALSE),"")</f>
        <v/>
      </c>
      <c r="C7" s="20" t="inlineStr"/>
      <c r="D7" s="19">
        <f>IF(OR(C7="",B7=""),"",C7-B7)</f>
        <v/>
      </c>
      <c r="E7" s="21">
        <f>IF(OR(C7="",B7="",B7=0),"",D7/B7)</f>
        <v/>
      </c>
      <c r="F7" s="19">
        <f>IFERROR(VLOOKUP(A7,PerfData!$A$2:$C$51,3,FALSE),"")</f>
        <v/>
      </c>
      <c r="G7" s="19">
        <f>IF(OR(C7="",A7=0),"",IF(A7=0,"",C7/A7))</f>
        <v/>
      </c>
      <c r="H7" s="20" t="inlineStr"/>
      <c r="I7" s="10" t="inlineStr"/>
    </row>
    <row r="8">
      <c r="A8" s="17" t="n">
        <v>28</v>
      </c>
      <c r="B8" s="19">
        <f>IFERROR(VLOOKUP(A8,PerfData!$A$2:$B$51,2,FALSE),"")</f>
        <v/>
      </c>
      <c r="C8" s="20" t="inlineStr"/>
      <c r="D8" s="19">
        <f>IF(OR(C8="",B8=""),"",C8-B8)</f>
        <v/>
      </c>
      <c r="E8" s="21">
        <f>IF(OR(C8="",B8="",B8=0),"",D8/B8)</f>
        <v/>
      </c>
      <c r="F8" s="19">
        <f>IFERROR(VLOOKUP(A8,PerfData!$A$2:$C$51,3,FALSE),"")</f>
        <v/>
      </c>
      <c r="G8" s="19">
        <f>IF(OR(C8="",A8=0),"",IF(A8=0,"",C8/A8))</f>
        <v/>
      </c>
      <c r="H8" s="20" t="inlineStr"/>
      <c r="I8" s="10" t="inlineStr"/>
    </row>
    <row r="9">
      <c r="A9" s="17" t="n">
        <v>35</v>
      </c>
      <c r="B9" s="19">
        <f>IFERROR(VLOOKUP(A9,PerfData!$A$2:$B$51,2,FALSE),"")</f>
        <v/>
      </c>
      <c r="C9" s="20" t="inlineStr"/>
      <c r="D9" s="19">
        <f>IF(OR(C9="",B9=""),"",C9-B9)</f>
        <v/>
      </c>
      <c r="E9" s="21">
        <f>IF(OR(C9="",B9="",B9=0),"",D9/B9)</f>
        <v/>
      </c>
      <c r="F9" s="19">
        <f>IFERROR(VLOOKUP(A9,PerfData!$A$2:$C$51,3,FALSE),"")</f>
        <v/>
      </c>
      <c r="G9" s="19">
        <f>IF(OR(C9="",A9=0),"",IF(A9=0,"",C9/A9))</f>
        <v/>
      </c>
      <c r="H9" s="20" t="inlineStr"/>
      <c r="I9" s="10" t="inlineStr"/>
    </row>
    <row r="10">
      <c r="A10" s="17" t="n">
        <v>42</v>
      </c>
      <c r="B10" s="19">
        <f>IFERROR(VLOOKUP(A10,PerfData!$A$2:$B$51,2,FALSE),"")</f>
        <v/>
      </c>
      <c r="C10" s="20" t="inlineStr"/>
      <c r="D10" s="19">
        <f>IF(OR(C10="",B10=""),"",C10-B10)</f>
        <v/>
      </c>
      <c r="E10" s="21">
        <f>IF(OR(C10="",B10="",B10=0),"",D10/B10)</f>
        <v/>
      </c>
      <c r="F10" s="19">
        <f>IFERROR(VLOOKUP(A10,PerfData!$A$2:$C$51,3,FALSE),"")</f>
        <v/>
      </c>
      <c r="G10" s="19">
        <f>IF(OR(C10="",A10=0),"",IF(A10=0,"",C10/A10))</f>
        <v/>
      </c>
      <c r="H10" s="20" t="inlineStr"/>
      <c r="I10" s="10" t="inlineStr"/>
    </row>
    <row r="11">
      <c r="A11" s="17" t="n">
        <v>49</v>
      </c>
      <c r="B11" s="19">
        <f>IFERROR(VLOOKUP(A11,PerfData!$A$2:$B$51,2,FALSE),"")</f>
        <v/>
      </c>
      <c r="C11" s="20" t="inlineStr"/>
      <c r="D11" s="19">
        <f>IF(OR(C11="",B11=""),"",C11-B11)</f>
        <v/>
      </c>
      <c r="E11" s="21">
        <f>IF(OR(C11="",B11="",B11=0),"",D11/B11)</f>
        <v/>
      </c>
      <c r="F11" s="19">
        <f>IFERROR(VLOOKUP(A11,PerfData!$A$2:$C$51,3,FALSE),"")</f>
        <v/>
      </c>
      <c r="G11" s="19">
        <f>IF(OR(C11="",A11=0),"",IF(A11=0,"",C11/A11))</f>
        <v/>
      </c>
      <c r="H11" s="20" t="inlineStr"/>
      <c r="I11" s="10" t="inlineStr"/>
    </row>
  </sheetData>
  <mergeCells count="1">
    <mergeCell ref="A1:I1"/>
  </mergeCells>
  <conditionalFormatting sqref="E4:E11">
    <cfRule type="cellIs" priority="1" operator="lessThan" dxfId="0">
      <formula>-0.1</formula>
    </cfRule>
    <cfRule type="cellIs" priority="2" operator="greaterThan" dxfId="1">
      <formula>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95548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3" t="inlineStr">
        <is>
          <t>Feed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2" t="inlineStr">
        <is>
          <t>Day</t>
        </is>
      </c>
      <c r="B3" s="12" t="inlineStr">
        <is>
          <t>Feed Type</t>
        </is>
      </c>
      <c r="C3" s="12" t="inlineStr">
        <is>
          <t>Feed Delivered (kg)</t>
        </is>
      </c>
      <c r="D3" s="12" t="inlineStr">
        <is>
          <t>Opening Stock (kg)</t>
        </is>
      </c>
      <c r="E3" s="12" t="inlineStr">
        <is>
          <t>Feed Consumed (kg)</t>
        </is>
      </c>
      <c r="F3" s="12" t="inlineStr">
        <is>
          <t>Closing Stock (kg)</t>
        </is>
      </c>
      <c r="G3" s="12" t="inlineStr">
        <is>
          <t>Birds</t>
        </is>
      </c>
      <c r="H3" s="12" t="inlineStr">
        <is>
          <t>Feed per Bird (g)</t>
        </is>
      </c>
      <c r="I3" s="12" t="inlineStr">
        <is>
          <t>Cumulative FCR</t>
        </is>
      </c>
    </row>
    <row r="4">
      <c r="A4" s="17" t="n">
        <v>2</v>
      </c>
      <c r="B4" s="10" t="inlineStr">
        <is>
          <t>Pre-starter</t>
        </is>
      </c>
      <c r="C4" s="20" t="n">
        <v>0</v>
      </c>
      <c r="D4" s="19">
        <f>IF(C4=0,0,IF(row=4,0,D3+C4-E3))</f>
        <v/>
      </c>
      <c r="E4" s="20" t="n">
        <v>0</v>
      </c>
      <c r="F4" s="19">
        <f>D4-E4</f>
        <v/>
      </c>
      <c r="G4" s="19">
        <f>Dashboard!$B$11</f>
        <v/>
      </c>
      <c r="H4" s="19">
        <f>IF(G4=0,0,E4*1000/G4)</f>
        <v/>
      </c>
      <c r="I4" s="19">
        <f>IFERROR(VLOOKUP(A4,PerfData!$A$2:$F$51,6,FALSE),"")</f>
        <v/>
      </c>
    </row>
    <row r="5">
      <c r="A5" s="17" t="n">
        <v>7</v>
      </c>
      <c r="B5" s="10" t="inlineStr">
        <is>
          <t>Starter</t>
        </is>
      </c>
      <c r="C5" s="20" t="n">
        <v>0</v>
      </c>
      <c r="D5" s="19">
        <f>IF(C5=0,0,IF(row=4,0,D4+C5-E4))</f>
        <v/>
      </c>
      <c r="E5" s="20" t="n">
        <v>0</v>
      </c>
      <c r="F5" s="19">
        <f>D5-E5</f>
        <v/>
      </c>
      <c r="G5" s="19">
        <f>Dashboard!$B$11</f>
        <v/>
      </c>
      <c r="H5" s="19">
        <f>IF(G5=0,0,E5*1000/G5)</f>
        <v/>
      </c>
      <c r="I5" s="19">
        <f>IFERROR(VLOOKUP(A5,PerfData!$A$2:$F$51,6,FALSE),"")</f>
        <v/>
      </c>
    </row>
    <row r="6">
      <c r="A6" s="17" t="n">
        <v>12</v>
      </c>
      <c r="B6" s="10" t="inlineStr">
        <is>
          <t>Starter</t>
        </is>
      </c>
      <c r="C6" s="20" t="n">
        <v>0</v>
      </c>
      <c r="D6" s="19">
        <f>IF(C6=0,0,IF(row=4,0,D5+C6-E5))</f>
        <v/>
      </c>
      <c r="E6" s="20" t="n">
        <v>0</v>
      </c>
      <c r="F6" s="19">
        <f>D6-E6</f>
        <v/>
      </c>
      <c r="G6" s="19">
        <f>Dashboard!$B$11</f>
        <v/>
      </c>
      <c r="H6" s="19">
        <f>IF(G6=0,0,E6*1000/G6)</f>
        <v/>
      </c>
      <c r="I6" s="19">
        <f>IFERROR(VLOOKUP(A6,PerfData!$A$2:$F$51,6,FALSE),"")</f>
        <v/>
      </c>
    </row>
    <row r="7">
      <c r="A7" s="17" t="n">
        <v>17</v>
      </c>
      <c r="B7" s="10" t="inlineStr">
        <is>
          <t>Grower</t>
        </is>
      </c>
      <c r="C7" s="20" t="n">
        <v>0</v>
      </c>
      <c r="D7" s="19">
        <f>IF(C7=0,0,IF(row=4,0,D6+C7-E6))</f>
        <v/>
      </c>
      <c r="E7" s="20" t="n">
        <v>0</v>
      </c>
      <c r="F7" s="19">
        <f>D7-E7</f>
        <v/>
      </c>
      <c r="G7" s="19">
        <f>Dashboard!$B$11</f>
        <v/>
      </c>
      <c r="H7" s="19">
        <f>IF(G7=0,0,E7*1000/G7)</f>
        <v/>
      </c>
      <c r="I7" s="19">
        <f>IFERROR(VLOOKUP(A7,PerfData!$A$2:$F$51,6,FALSE),"")</f>
        <v/>
      </c>
    </row>
    <row r="8">
      <c r="A8" s="17" t="n">
        <v>22</v>
      </c>
      <c r="B8" s="10" t="inlineStr">
        <is>
          <t>Grower</t>
        </is>
      </c>
      <c r="C8" s="20" t="n">
        <v>0</v>
      </c>
      <c r="D8" s="19">
        <f>IF(C8=0,0,IF(row=4,0,D7+C8-E7))</f>
        <v/>
      </c>
      <c r="E8" s="20" t="n">
        <v>0</v>
      </c>
      <c r="F8" s="19">
        <f>D8-E8</f>
        <v/>
      </c>
      <c r="G8" s="19">
        <f>Dashboard!$B$11</f>
        <v/>
      </c>
      <c r="H8" s="19">
        <f>IF(G8=0,0,E8*1000/G8)</f>
        <v/>
      </c>
      <c r="I8" s="19">
        <f>IFERROR(VLOOKUP(A8,PerfData!$A$2:$F$51,6,FALSE),"")</f>
        <v/>
      </c>
    </row>
    <row r="9">
      <c r="A9" s="17" t="n">
        <v>27</v>
      </c>
      <c r="B9" s="10" t="inlineStr">
        <is>
          <t>Grower</t>
        </is>
      </c>
      <c r="C9" s="20" t="n">
        <v>0</v>
      </c>
      <c r="D9" s="19">
        <f>IF(C9=0,0,IF(row=4,0,D8+C9-E8))</f>
        <v/>
      </c>
      <c r="E9" s="20" t="n">
        <v>0</v>
      </c>
      <c r="F9" s="19">
        <f>D9-E9</f>
        <v/>
      </c>
      <c r="G9" s="19">
        <f>Dashboard!$B$11</f>
        <v/>
      </c>
      <c r="H9" s="19">
        <f>IF(G9=0,0,E9*1000/G9)</f>
        <v/>
      </c>
      <c r="I9" s="19">
        <f>IFERROR(VLOOKUP(A9,PerfData!$A$2:$F$51,6,FALSE),"")</f>
        <v/>
      </c>
    </row>
    <row r="10">
      <c r="A10" s="17" t="n">
        <v>32</v>
      </c>
      <c r="B10" s="10" t="inlineStr">
        <is>
          <t>Finisher 1</t>
        </is>
      </c>
      <c r="C10" s="20" t="n">
        <v>0</v>
      </c>
      <c r="D10" s="19">
        <f>IF(C10=0,0,IF(row=4,0,D9+C10-E9))</f>
        <v/>
      </c>
      <c r="E10" s="20" t="n">
        <v>0</v>
      </c>
      <c r="F10" s="19">
        <f>D10-E10</f>
        <v/>
      </c>
      <c r="G10" s="19">
        <f>Dashboard!$B$11</f>
        <v/>
      </c>
      <c r="H10" s="19">
        <f>IF(G10=0,0,E10*1000/G10)</f>
        <v/>
      </c>
      <c r="I10" s="19">
        <f>IFERROR(VLOOKUP(A10,PerfData!$A$2:$F$51,6,FALSE),"")</f>
        <v/>
      </c>
    </row>
    <row r="11">
      <c r="A11" s="17" t="n">
        <v>37</v>
      </c>
      <c r="B11" s="10" t="inlineStr">
        <is>
          <t>Finisher 1</t>
        </is>
      </c>
      <c r="C11" s="20" t="n">
        <v>0</v>
      </c>
      <c r="D11" s="19">
        <f>IF(C11=0,0,IF(row=4,0,D10+C11-E10))</f>
        <v/>
      </c>
      <c r="E11" s="20" t="n">
        <v>0</v>
      </c>
      <c r="F11" s="19">
        <f>D11-E11</f>
        <v/>
      </c>
      <c r="G11" s="19">
        <f>Dashboard!$B$11</f>
        <v/>
      </c>
      <c r="H11" s="19">
        <f>IF(G11=0,0,E11*1000/G11)</f>
        <v/>
      </c>
      <c r="I11" s="19">
        <f>IFERROR(VLOOKUP(A11,PerfData!$A$2:$F$51,6,FALSE),"")</f>
        <v/>
      </c>
    </row>
    <row r="12">
      <c r="A12" s="17" t="n">
        <v>42</v>
      </c>
      <c r="B12" s="10" t="inlineStr">
        <is>
          <t>Finisher 1</t>
        </is>
      </c>
      <c r="C12" s="20" t="n">
        <v>0</v>
      </c>
      <c r="D12" s="19">
        <f>IF(C12=0,0,IF(row=4,0,D11+C12-E11))</f>
        <v/>
      </c>
      <c r="E12" s="20" t="n">
        <v>0</v>
      </c>
      <c r="F12" s="19">
        <f>D12-E12</f>
        <v/>
      </c>
      <c r="G12" s="19">
        <f>Dashboard!$B$11</f>
        <v/>
      </c>
      <c r="H12" s="19">
        <f>IF(G12=0,0,E12*1000/G12)</f>
        <v/>
      </c>
      <c r="I12" s="19">
        <f>IFERROR(VLOOKUP(A12,PerfData!$A$2:$F$51,6,FALSE),"")</f>
        <v/>
      </c>
    </row>
    <row r="13">
      <c r="A13" s="17" t="n">
        <v>47</v>
      </c>
      <c r="B13" s="10" t="inlineStr">
        <is>
          <t>Finisher 2</t>
        </is>
      </c>
      <c r="C13" s="20" t="n">
        <v>0</v>
      </c>
      <c r="D13" s="19">
        <f>IF(C13=0,0,IF(row=4,0,D12+C13-E12))</f>
        <v/>
      </c>
      <c r="E13" s="20" t="n">
        <v>0</v>
      </c>
      <c r="F13" s="19">
        <f>D13-E13</f>
        <v/>
      </c>
      <c r="G13" s="19">
        <f>Dashboard!$B$11</f>
        <v/>
      </c>
      <c r="H13" s="19">
        <f>IF(G13=0,0,E13*1000/G13)</f>
        <v/>
      </c>
      <c r="I13" s="19">
        <f>IFERROR(VLOOKUP(A13,PerfData!$A$2:$F$51,6,FALSE),"")</f>
        <v/>
      </c>
    </row>
  </sheetData>
  <mergeCells count="1">
    <mergeCell ref="A1:I1"/>
  </mergeCells>
  <dataValidations count="10">
    <dataValidation sqref="B4" showDropDown="0" showInputMessage="0" showErrorMessage="0" allowBlank="1" type="list">
      <formula1>"Pre-starter,Starter,Grower,Finisher 1,Finisher 2,Withdrawal"</formula1>
    </dataValidation>
    <dataValidation sqref="B5" showDropDown="0" showInputMessage="0" showErrorMessage="0" allowBlank="1" type="list">
      <formula1>"Pre-starter,Starter,Grower,Finisher 1,Finisher 2,Withdrawal"</formula1>
    </dataValidation>
    <dataValidation sqref="B6" showDropDown="0" showInputMessage="0" showErrorMessage="0" allowBlank="1" type="list">
      <formula1>"Pre-starter,Starter,Grower,Finisher 1,Finisher 2,Withdrawal"</formula1>
    </dataValidation>
    <dataValidation sqref="B7" showDropDown="0" showInputMessage="0" showErrorMessage="0" allowBlank="1" type="list">
      <formula1>"Pre-starter,Starter,Grower,Finisher 1,Finisher 2,Withdrawal"</formula1>
    </dataValidation>
    <dataValidation sqref="B8" showDropDown="0" showInputMessage="0" showErrorMessage="0" allowBlank="1" type="list">
      <formula1>"Pre-starter,Starter,Grower,Finisher 1,Finisher 2,Withdrawal"</formula1>
    </dataValidation>
    <dataValidation sqref="B9" showDropDown="0" showInputMessage="0" showErrorMessage="0" allowBlank="1" type="list">
      <formula1>"Pre-starter,Starter,Grower,Finisher 1,Finisher 2,Withdrawal"</formula1>
    </dataValidation>
    <dataValidation sqref="B10" showDropDown="0" showInputMessage="0" showErrorMessage="0" allowBlank="1" type="list">
      <formula1>"Pre-starter,Starter,Grower,Finisher 1,Finisher 2,Withdrawal"</formula1>
    </dataValidation>
    <dataValidation sqref="B11" showDropDown="0" showInputMessage="0" showErrorMessage="0" allowBlank="1" type="list">
      <formula1>"Pre-starter,Starter,Grower,Finisher 1,Finisher 2,Withdrawal"</formula1>
    </dataValidation>
    <dataValidation sqref="B12" showDropDown="0" showInputMessage="0" showErrorMessage="0" allowBlank="1" type="list">
      <formula1>"Pre-starter,Starter,Grower,Finisher 1,Finisher 2,Withdrawal"</formula1>
    </dataValidation>
    <dataValidation sqref="B13" showDropDown="0" showInputMessage="0" showErrorMessage="0" allowBlank="1" type="list">
      <formula1>"Pre-starter,Starter,Grower,Finisher 1,Finisher 2,Withdrawal"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3A9F4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20" customWidth="1" min="7" max="7"/>
    <col width="30" customWidth="1" min="8" max="8"/>
  </cols>
  <sheetData>
    <row r="1" ht="28" customHeight="1">
      <c r="A1" s="13" t="inlineStr">
        <is>
          <t>Water Tracking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2" t="inlineStr">
        <is>
          <t>Day</t>
        </is>
      </c>
      <c r="B3" s="12" t="inlineStr">
        <is>
          <t>Temp (°C)</t>
        </is>
      </c>
      <c r="C3" s="12" t="inlineStr">
        <is>
          <t>Expected Water (L)</t>
        </is>
      </c>
      <c r="D3" s="12" t="inlineStr">
        <is>
          <t>Actual Water (L)</t>
        </is>
      </c>
      <c r="E3" s="12" t="inlineStr">
        <is>
          <t>Water:Feed Ratio</t>
        </is>
      </c>
      <c r="F3" s="12" t="inlineStr">
        <is>
          <t>Deviation</t>
        </is>
      </c>
      <c r="G3" s="12" t="inlineStr">
        <is>
          <t>Status</t>
        </is>
      </c>
      <c r="H3" s="12" t="inlineStr">
        <is>
          <t>Notes</t>
        </is>
      </c>
    </row>
    <row r="4">
      <c r="A4" s="17" t="n">
        <v>2</v>
      </c>
      <c r="B4" s="22" t="n">
        <v>25</v>
      </c>
      <c r="C4" s="19">
        <f>IFERROR(VLOOKUP(A4,PerfData!$A$2:$D$51,4,FALSE)*1.8/1000*Dashboard!$B$11*(1+MAX(0,B4-21)*0.06),0)</f>
        <v/>
      </c>
      <c r="D4" s="20" t="n">
        <v>0</v>
      </c>
      <c r="E4" s="19">
        <f>IFERROR(D4/(VLOOKUP(A4,PerfData!$A$2:$D$51,4,FALSE)/1000*Dashboard!$B$11),0)</f>
        <v/>
      </c>
      <c r="F4" s="19">
        <f>D4-C4</f>
        <v/>
      </c>
      <c r="G4" s="19">
        <f>IF(ABS(F4)/C4&gt;0.15,"Check!","Normal")</f>
        <v/>
      </c>
      <c r="H4" s="10" t="inlineStr"/>
    </row>
    <row r="5">
      <c r="A5" s="17" t="n">
        <v>7</v>
      </c>
      <c r="B5" s="22" t="n">
        <v>25</v>
      </c>
      <c r="C5" s="19">
        <f>IFERROR(VLOOKUP(A5,PerfData!$A$2:$D$51,4,FALSE)*1.8/1000*Dashboard!$B$11*(1+MAX(0,B5-21)*0.06),0)</f>
        <v/>
      </c>
      <c r="D5" s="20" t="n">
        <v>0</v>
      </c>
      <c r="E5" s="19">
        <f>IFERROR(D5/(VLOOKUP(A5,PerfData!$A$2:$D$51,4,FALSE)/1000*Dashboard!$B$11),0)</f>
        <v/>
      </c>
      <c r="F5" s="19">
        <f>D5-C5</f>
        <v/>
      </c>
      <c r="G5" s="19">
        <f>IF(ABS(F5)/C5&gt;0.15,"Check!","Normal")</f>
        <v/>
      </c>
      <c r="H5" s="10" t="inlineStr"/>
    </row>
    <row r="6">
      <c r="A6" s="17" t="n">
        <v>12</v>
      </c>
      <c r="B6" s="22" t="n">
        <v>25</v>
      </c>
      <c r="C6" s="19">
        <f>IFERROR(VLOOKUP(A6,PerfData!$A$2:$D$51,4,FALSE)*1.8/1000*Dashboard!$B$11*(1+MAX(0,B6-21)*0.06),0)</f>
        <v/>
      </c>
      <c r="D6" s="20" t="n">
        <v>0</v>
      </c>
      <c r="E6" s="19">
        <f>IFERROR(D6/(VLOOKUP(A6,PerfData!$A$2:$D$51,4,FALSE)/1000*Dashboard!$B$11),0)</f>
        <v/>
      </c>
      <c r="F6" s="19">
        <f>D6-C6</f>
        <v/>
      </c>
      <c r="G6" s="19">
        <f>IF(ABS(F6)/C6&gt;0.15,"Check!","Normal")</f>
        <v/>
      </c>
      <c r="H6" s="10" t="inlineStr"/>
    </row>
    <row r="7">
      <c r="A7" s="17" t="n">
        <v>17</v>
      </c>
      <c r="B7" s="22" t="n">
        <v>25</v>
      </c>
      <c r="C7" s="19">
        <f>IFERROR(VLOOKUP(A7,PerfData!$A$2:$D$51,4,FALSE)*1.8/1000*Dashboard!$B$11*(1+MAX(0,B7-21)*0.06),0)</f>
        <v/>
      </c>
      <c r="D7" s="20" t="n">
        <v>0</v>
      </c>
      <c r="E7" s="19">
        <f>IFERROR(D7/(VLOOKUP(A7,PerfData!$A$2:$D$51,4,FALSE)/1000*Dashboard!$B$11),0)</f>
        <v/>
      </c>
      <c r="F7" s="19">
        <f>D7-C7</f>
        <v/>
      </c>
      <c r="G7" s="19">
        <f>IF(ABS(F7)/C7&gt;0.15,"Check!","Normal")</f>
        <v/>
      </c>
      <c r="H7" s="10" t="inlineStr"/>
    </row>
    <row r="8">
      <c r="A8" s="17" t="n">
        <v>22</v>
      </c>
      <c r="B8" s="22" t="n">
        <v>25</v>
      </c>
      <c r="C8" s="19">
        <f>IFERROR(VLOOKUP(A8,PerfData!$A$2:$D$51,4,FALSE)*1.8/1000*Dashboard!$B$11*(1+MAX(0,B8-21)*0.06),0)</f>
        <v/>
      </c>
      <c r="D8" s="20" t="n">
        <v>0</v>
      </c>
      <c r="E8" s="19">
        <f>IFERROR(D8/(VLOOKUP(A8,PerfData!$A$2:$D$51,4,FALSE)/1000*Dashboard!$B$11),0)</f>
        <v/>
      </c>
      <c r="F8" s="19">
        <f>D8-C8</f>
        <v/>
      </c>
      <c r="G8" s="19">
        <f>IF(ABS(F8)/C8&gt;0.15,"Check!","Normal")</f>
        <v/>
      </c>
      <c r="H8" s="10" t="inlineStr"/>
    </row>
    <row r="9">
      <c r="A9" s="17" t="n">
        <v>27</v>
      </c>
      <c r="B9" s="22" t="n">
        <v>25</v>
      </c>
      <c r="C9" s="19">
        <f>IFERROR(VLOOKUP(A9,PerfData!$A$2:$D$51,4,FALSE)*1.8/1000*Dashboard!$B$11*(1+MAX(0,B9-21)*0.06),0)</f>
        <v/>
      </c>
      <c r="D9" s="20" t="n">
        <v>0</v>
      </c>
      <c r="E9" s="19">
        <f>IFERROR(D9/(VLOOKUP(A9,PerfData!$A$2:$D$51,4,FALSE)/1000*Dashboard!$B$11),0)</f>
        <v/>
      </c>
      <c r="F9" s="19">
        <f>D9-C9</f>
        <v/>
      </c>
      <c r="G9" s="19">
        <f>IF(ABS(F9)/C9&gt;0.15,"Check!","Normal")</f>
        <v/>
      </c>
      <c r="H9" s="10" t="inlineStr"/>
    </row>
    <row r="10">
      <c r="A10" s="17" t="n">
        <v>32</v>
      </c>
      <c r="B10" s="22" t="n">
        <v>25</v>
      </c>
      <c r="C10" s="19">
        <f>IFERROR(VLOOKUP(A10,PerfData!$A$2:$D$51,4,FALSE)*1.8/1000*Dashboard!$B$11*(1+MAX(0,B10-21)*0.06),0)</f>
        <v/>
      </c>
      <c r="D10" s="20" t="n">
        <v>0</v>
      </c>
      <c r="E10" s="19">
        <f>IFERROR(D10/(VLOOKUP(A10,PerfData!$A$2:$D$51,4,FALSE)/1000*Dashboard!$B$11),0)</f>
        <v/>
      </c>
      <c r="F10" s="19">
        <f>D10-C10</f>
        <v/>
      </c>
      <c r="G10" s="19">
        <f>IF(ABS(F10)/C10&gt;0.15,"Check!","Normal")</f>
        <v/>
      </c>
      <c r="H10" s="10" t="inlineStr"/>
    </row>
    <row r="11">
      <c r="A11" s="17" t="n">
        <v>37</v>
      </c>
      <c r="B11" s="22" t="n">
        <v>25</v>
      </c>
      <c r="C11" s="19">
        <f>IFERROR(VLOOKUP(A11,PerfData!$A$2:$D$51,4,FALSE)*1.8/1000*Dashboard!$B$11*(1+MAX(0,B11-21)*0.06),0)</f>
        <v/>
      </c>
      <c r="D11" s="20" t="n">
        <v>0</v>
      </c>
      <c r="E11" s="19">
        <f>IFERROR(D11/(VLOOKUP(A11,PerfData!$A$2:$D$51,4,FALSE)/1000*Dashboard!$B$11),0)</f>
        <v/>
      </c>
      <c r="F11" s="19">
        <f>D11-C11</f>
        <v/>
      </c>
      <c r="G11" s="19">
        <f>IF(ABS(F11)/C11&gt;0.15,"Check!","Normal")</f>
        <v/>
      </c>
      <c r="H11" s="10" t="inlineStr"/>
    </row>
    <row r="12">
      <c r="A12" s="17" t="n">
        <v>42</v>
      </c>
      <c r="B12" s="22" t="n">
        <v>25</v>
      </c>
      <c r="C12" s="19">
        <f>IFERROR(VLOOKUP(A12,PerfData!$A$2:$D$51,4,FALSE)*1.8/1000*Dashboard!$B$11*(1+MAX(0,B12-21)*0.06),0)</f>
        <v/>
      </c>
      <c r="D12" s="20" t="n">
        <v>0</v>
      </c>
      <c r="E12" s="19">
        <f>IFERROR(D12/(VLOOKUP(A12,PerfData!$A$2:$D$51,4,FALSE)/1000*Dashboard!$B$11),0)</f>
        <v/>
      </c>
      <c r="F12" s="19">
        <f>D12-C12</f>
        <v/>
      </c>
      <c r="G12" s="19">
        <f>IF(ABS(F12)/C12&gt;0.15,"Check!","Normal")</f>
        <v/>
      </c>
      <c r="H12" s="10" t="inlineStr"/>
    </row>
    <row r="13">
      <c r="A13" s="17" t="n">
        <v>47</v>
      </c>
      <c r="B13" s="22" t="n">
        <v>25</v>
      </c>
      <c r="C13" s="19">
        <f>IFERROR(VLOOKUP(A13,PerfData!$A$2:$D$51,4,FALSE)*1.8/1000*Dashboard!$B$11*(1+MAX(0,B13-21)*0.06),0)</f>
        <v/>
      </c>
      <c r="D13" s="20" t="n">
        <v>0</v>
      </c>
      <c r="E13" s="19">
        <f>IFERROR(D13/(VLOOKUP(A13,PerfData!$A$2:$D$51,4,FALSE)/1000*Dashboard!$B$11),0)</f>
        <v/>
      </c>
      <c r="F13" s="19">
        <f>D13-C13</f>
        <v/>
      </c>
      <c r="G13" s="19">
        <f>IF(ABS(F13)/C13&gt;0.15,"Check!","Normal")</f>
        <v/>
      </c>
      <c r="H13" s="10" t="inlineStr"/>
    </row>
  </sheetData>
  <mergeCells count="1">
    <mergeCell ref="A1:H1"/>
  </mergeCells>
  <conditionalFormatting sqref="G4:G13">
    <cfRule type="cellIs" priority="1" operator="equal" dxfId="0">
      <formula>"Check!"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4336"/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8" customWidth="1" min="5" max="5"/>
    <col width="25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3" t="inlineStr">
        <is>
          <t>Mortality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2" t="inlineStr">
        <is>
          <t>Date</t>
        </is>
      </c>
      <c r="B3" s="12" t="inlineStr">
        <is>
          <t>Day</t>
        </is>
      </c>
      <c r="C3" s="12" t="inlineStr">
        <is>
          <t>Age</t>
        </is>
      </c>
      <c r="D3" s="12" t="inlineStr">
        <is>
          <t>Dead Birds</t>
        </is>
      </c>
      <c r="E3" s="12" t="inlineStr">
        <is>
          <t>Cumulative</t>
        </is>
      </c>
      <c r="F3" s="12" t="inlineStr">
        <is>
          <t>Mortality %</t>
        </is>
      </c>
      <c r="G3" s="12" t="inlineStr">
        <is>
          <t>Suspected Cause</t>
        </is>
      </c>
      <c r="H3" s="12" t="inlineStr">
        <is>
          <t>Post-Mortem Findings</t>
        </is>
      </c>
      <c r="I3" s="12" t="inlineStr">
        <is>
          <t>Notes</t>
        </is>
      </c>
    </row>
    <row r="4">
      <c r="A4" s="23" t="inlineStr"/>
      <c r="B4" s="19">
        <f>IF(A4="","",A4-Dashboard!$B$3)</f>
        <v/>
      </c>
      <c r="C4" s="19">
        <f>IF(B4="","",B4)</f>
        <v/>
      </c>
      <c r="D4" s="20" t="n">
        <v>0</v>
      </c>
      <c r="E4" s="19">
        <f>SUM($D$4:D4)</f>
        <v/>
      </c>
      <c r="F4" s="24">
        <f>IF(Dashboard!$B$6=0,0,E4/Dashboard!$B$6)</f>
        <v/>
      </c>
      <c r="G4" s="20" t="inlineStr"/>
      <c r="H4" s="20" t="inlineStr"/>
      <c r="I4" s="10" t="inlineStr"/>
    </row>
    <row r="5">
      <c r="A5" s="23" t="inlineStr"/>
      <c r="B5" s="19">
        <f>IF(A5="","",A5-Dashboard!$B$3)</f>
        <v/>
      </c>
      <c r="C5" s="19">
        <f>IF(B5="","",B5)</f>
        <v/>
      </c>
      <c r="D5" s="20" t="n">
        <v>0</v>
      </c>
      <c r="E5" s="19">
        <f>SUM($D$4:D5)</f>
        <v/>
      </c>
      <c r="F5" s="24">
        <f>IF(Dashboard!$B$6=0,0,E5/Dashboard!$B$6)</f>
        <v/>
      </c>
      <c r="G5" s="20" t="inlineStr"/>
      <c r="H5" s="20" t="inlineStr"/>
      <c r="I5" s="10" t="inlineStr"/>
    </row>
    <row r="6">
      <c r="A6" s="23" t="inlineStr"/>
      <c r="B6" s="19">
        <f>IF(A6="","",A6-Dashboard!$B$3)</f>
        <v/>
      </c>
      <c r="C6" s="19">
        <f>IF(B6="","",B6)</f>
        <v/>
      </c>
      <c r="D6" s="20" t="n">
        <v>0</v>
      </c>
      <c r="E6" s="19">
        <f>SUM($D$4:D6)</f>
        <v/>
      </c>
      <c r="F6" s="24">
        <f>IF(Dashboard!$B$6=0,0,E6/Dashboard!$B$6)</f>
        <v/>
      </c>
      <c r="G6" s="20" t="inlineStr"/>
      <c r="H6" s="20" t="inlineStr"/>
      <c r="I6" s="10" t="inlineStr"/>
    </row>
    <row r="7">
      <c r="A7" s="23" t="inlineStr"/>
      <c r="B7" s="19">
        <f>IF(A7="","",A7-Dashboard!$B$3)</f>
        <v/>
      </c>
      <c r="C7" s="19">
        <f>IF(B7="","",B7)</f>
        <v/>
      </c>
      <c r="D7" s="20" t="n">
        <v>0</v>
      </c>
      <c r="E7" s="19">
        <f>SUM($D$4:D7)</f>
        <v/>
      </c>
      <c r="F7" s="24">
        <f>IF(Dashboard!$B$6=0,0,E7/Dashboard!$B$6)</f>
        <v/>
      </c>
      <c r="G7" s="20" t="inlineStr"/>
      <c r="H7" s="20" t="inlineStr"/>
      <c r="I7" s="10" t="inlineStr"/>
    </row>
    <row r="8">
      <c r="A8" s="23" t="inlineStr"/>
      <c r="B8" s="19">
        <f>IF(A8="","",A8-Dashboard!$B$3)</f>
        <v/>
      </c>
      <c r="C8" s="19">
        <f>IF(B8="","",B8)</f>
        <v/>
      </c>
      <c r="D8" s="20" t="n">
        <v>0</v>
      </c>
      <c r="E8" s="19">
        <f>SUM($D$4:D8)</f>
        <v/>
      </c>
      <c r="F8" s="24">
        <f>IF(Dashboard!$B$6=0,0,E8/Dashboard!$B$6)</f>
        <v/>
      </c>
      <c r="G8" s="20" t="inlineStr"/>
      <c r="H8" s="20" t="inlineStr"/>
      <c r="I8" s="10" t="inlineStr"/>
    </row>
    <row r="9">
      <c r="A9" s="23" t="inlineStr"/>
      <c r="B9" s="19">
        <f>IF(A9="","",A9-Dashboard!$B$3)</f>
        <v/>
      </c>
      <c r="C9" s="19">
        <f>IF(B9="","",B9)</f>
        <v/>
      </c>
      <c r="D9" s="20" t="n">
        <v>0</v>
      </c>
      <c r="E9" s="19">
        <f>SUM($D$4:D9)</f>
        <v/>
      </c>
      <c r="F9" s="24">
        <f>IF(Dashboard!$B$6=0,0,E9/Dashboard!$B$6)</f>
        <v/>
      </c>
      <c r="G9" s="20" t="inlineStr"/>
      <c r="H9" s="20" t="inlineStr"/>
      <c r="I9" s="10" t="inlineStr"/>
    </row>
    <row r="10">
      <c r="A10" s="23" t="inlineStr"/>
      <c r="B10" s="19">
        <f>IF(A10="","",A10-Dashboard!$B$3)</f>
        <v/>
      </c>
      <c r="C10" s="19">
        <f>IF(B10="","",B10)</f>
        <v/>
      </c>
      <c r="D10" s="20" t="n">
        <v>0</v>
      </c>
      <c r="E10" s="19">
        <f>SUM($D$4:D10)</f>
        <v/>
      </c>
      <c r="F10" s="24">
        <f>IF(Dashboard!$B$6=0,0,E10/Dashboard!$B$6)</f>
        <v/>
      </c>
      <c r="G10" s="20" t="inlineStr"/>
      <c r="H10" s="20" t="inlineStr"/>
      <c r="I10" s="10" t="inlineStr"/>
    </row>
    <row r="11">
      <c r="A11" s="23" t="inlineStr"/>
      <c r="B11" s="19">
        <f>IF(A11="","",A11-Dashboard!$B$3)</f>
        <v/>
      </c>
      <c r="C11" s="19">
        <f>IF(B11="","",B11)</f>
        <v/>
      </c>
      <c r="D11" s="20" t="n">
        <v>0</v>
      </c>
      <c r="E11" s="19">
        <f>SUM($D$4:D11)</f>
        <v/>
      </c>
      <c r="F11" s="24">
        <f>IF(Dashboard!$B$6=0,0,E11/Dashboard!$B$6)</f>
        <v/>
      </c>
      <c r="G11" s="20" t="inlineStr"/>
      <c r="H11" s="20" t="inlineStr"/>
      <c r="I11" s="10" t="inlineStr"/>
    </row>
    <row r="12">
      <c r="A12" s="23" t="inlineStr"/>
      <c r="B12" s="19">
        <f>IF(A12="","",A12-Dashboard!$B$3)</f>
        <v/>
      </c>
      <c r="C12" s="19">
        <f>IF(B12="","",B12)</f>
        <v/>
      </c>
      <c r="D12" s="20" t="n">
        <v>0</v>
      </c>
      <c r="E12" s="19">
        <f>SUM($D$4:D12)</f>
        <v/>
      </c>
      <c r="F12" s="24">
        <f>IF(Dashboard!$B$6=0,0,E12/Dashboard!$B$6)</f>
        <v/>
      </c>
      <c r="G12" s="20" t="inlineStr"/>
      <c r="H12" s="20" t="inlineStr"/>
      <c r="I12" s="10" t="inlineStr"/>
    </row>
    <row r="13">
      <c r="A13" s="23" t="inlineStr"/>
      <c r="B13" s="19">
        <f>IF(A13="","",A13-Dashboard!$B$3)</f>
        <v/>
      </c>
      <c r="C13" s="19">
        <f>IF(B13="","",B13)</f>
        <v/>
      </c>
      <c r="D13" s="20" t="n">
        <v>0</v>
      </c>
      <c r="E13" s="19">
        <f>SUM($D$4:D13)</f>
        <v/>
      </c>
      <c r="F13" s="24">
        <f>IF(Dashboard!$B$6=0,0,E13/Dashboard!$B$6)</f>
        <v/>
      </c>
      <c r="G13" s="20" t="inlineStr"/>
      <c r="H13" s="20" t="inlineStr"/>
      <c r="I13" s="10" t="inlineStr"/>
    </row>
    <row r="14">
      <c r="A14" s="23" t="inlineStr"/>
      <c r="B14" s="19">
        <f>IF(A14="","",A14-Dashboard!$B$3)</f>
        <v/>
      </c>
      <c r="C14" s="19">
        <f>IF(B14="","",B14)</f>
        <v/>
      </c>
      <c r="D14" s="20" t="n">
        <v>0</v>
      </c>
      <c r="E14" s="19">
        <f>SUM($D$4:D14)</f>
        <v/>
      </c>
      <c r="F14" s="24">
        <f>IF(Dashboard!$B$6=0,0,E14/Dashboard!$B$6)</f>
        <v/>
      </c>
      <c r="G14" s="20" t="inlineStr"/>
      <c r="H14" s="20" t="inlineStr"/>
      <c r="I14" s="10" t="inlineStr"/>
    </row>
    <row r="15">
      <c r="A15" s="23" t="inlineStr"/>
      <c r="B15" s="19">
        <f>IF(A15="","",A15-Dashboard!$B$3)</f>
        <v/>
      </c>
      <c r="C15" s="19">
        <f>IF(B15="","",B15)</f>
        <v/>
      </c>
      <c r="D15" s="20" t="n">
        <v>0</v>
      </c>
      <c r="E15" s="19">
        <f>SUM($D$4:D15)</f>
        <v/>
      </c>
      <c r="F15" s="24">
        <f>IF(Dashboard!$B$6=0,0,E15/Dashboard!$B$6)</f>
        <v/>
      </c>
      <c r="G15" s="20" t="inlineStr"/>
      <c r="H15" s="20" t="inlineStr"/>
      <c r="I15" s="10" t="inlineStr"/>
    </row>
    <row r="16">
      <c r="A16" s="23" t="inlineStr"/>
      <c r="B16" s="19">
        <f>IF(A16="","",A16-Dashboard!$B$3)</f>
        <v/>
      </c>
      <c r="C16" s="19">
        <f>IF(B16="","",B16)</f>
        <v/>
      </c>
      <c r="D16" s="20" t="n">
        <v>0</v>
      </c>
      <c r="E16" s="19">
        <f>SUM($D$4:D16)</f>
        <v/>
      </c>
      <c r="F16" s="24">
        <f>IF(Dashboard!$B$6=0,0,E16/Dashboard!$B$6)</f>
        <v/>
      </c>
      <c r="G16" s="20" t="inlineStr"/>
      <c r="H16" s="20" t="inlineStr"/>
      <c r="I16" s="10" t="inlineStr"/>
    </row>
    <row r="17">
      <c r="A17" s="23" t="inlineStr"/>
      <c r="B17" s="19">
        <f>IF(A17="","",A17-Dashboard!$B$3)</f>
        <v/>
      </c>
      <c r="C17" s="19">
        <f>IF(B17="","",B17)</f>
        <v/>
      </c>
      <c r="D17" s="20" t="n">
        <v>0</v>
      </c>
      <c r="E17" s="19">
        <f>SUM($D$4:D17)</f>
        <v/>
      </c>
      <c r="F17" s="24">
        <f>IF(Dashboard!$B$6=0,0,E17/Dashboard!$B$6)</f>
        <v/>
      </c>
      <c r="G17" s="20" t="inlineStr"/>
      <c r="H17" s="20" t="inlineStr"/>
      <c r="I17" s="10" t="inlineStr"/>
    </row>
    <row r="18">
      <c r="A18" s="23" t="inlineStr"/>
      <c r="B18" s="19">
        <f>IF(A18="","",A18-Dashboard!$B$3)</f>
        <v/>
      </c>
      <c r="C18" s="19">
        <f>IF(B18="","",B18)</f>
        <v/>
      </c>
      <c r="D18" s="20" t="n">
        <v>0</v>
      </c>
      <c r="E18" s="19">
        <f>SUM($D$4:D18)</f>
        <v/>
      </c>
      <c r="F18" s="24">
        <f>IF(Dashboard!$B$6=0,0,E18/Dashboard!$B$6)</f>
        <v/>
      </c>
      <c r="G18" s="20" t="inlineStr"/>
      <c r="H18" s="20" t="inlineStr"/>
      <c r="I18" s="10" t="inlineStr"/>
    </row>
    <row r="19">
      <c r="A19" s="23" t="inlineStr"/>
      <c r="B19" s="19">
        <f>IF(A19="","",A19-Dashboard!$B$3)</f>
        <v/>
      </c>
      <c r="C19" s="19">
        <f>IF(B19="","",B19)</f>
        <v/>
      </c>
      <c r="D19" s="20" t="n">
        <v>0</v>
      </c>
      <c r="E19" s="19">
        <f>SUM($D$4:D19)</f>
        <v/>
      </c>
      <c r="F19" s="24">
        <f>IF(Dashboard!$B$6=0,0,E19/Dashboard!$B$6)</f>
        <v/>
      </c>
      <c r="G19" s="20" t="inlineStr"/>
      <c r="H19" s="20" t="inlineStr"/>
      <c r="I19" s="10" t="inlineStr"/>
    </row>
    <row r="20">
      <c r="A20" s="23" t="inlineStr"/>
      <c r="B20" s="19">
        <f>IF(A20="","",A20-Dashboard!$B$3)</f>
        <v/>
      </c>
      <c r="C20" s="19">
        <f>IF(B20="","",B20)</f>
        <v/>
      </c>
      <c r="D20" s="20" t="n">
        <v>0</v>
      </c>
      <c r="E20" s="19">
        <f>SUM($D$4:D20)</f>
        <v/>
      </c>
      <c r="F20" s="24">
        <f>IF(Dashboard!$B$6=0,0,E20/Dashboard!$B$6)</f>
        <v/>
      </c>
      <c r="G20" s="20" t="inlineStr"/>
      <c r="H20" s="20" t="inlineStr"/>
      <c r="I20" s="10" t="inlineStr"/>
    </row>
    <row r="21">
      <c r="A21" s="23" t="inlineStr"/>
      <c r="B21" s="19">
        <f>IF(A21="","",A21-Dashboard!$B$3)</f>
        <v/>
      </c>
      <c r="C21" s="19">
        <f>IF(B21="","",B21)</f>
        <v/>
      </c>
      <c r="D21" s="20" t="n">
        <v>0</v>
      </c>
      <c r="E21" s="19">
        <f>SUM($D$4:D21)</f>
        <v/>
      </c>
      <c r="F21" s="24">
        <f>IF(Dashboard!$B$6=0,0,E21/Dashboard!$B$6)</f>
        <v/>
      </c>
      <c r="G21" s="20" t="inlineStr"/>
      <c r="H21" s="20" t="inlineStr"/>
      <c r="I21" s="10" t="inlineStr"/>
    </row>
    <row r="22">
      <c r="A22" s="23" t="inlineStr"/>
      <c r="B22" s="19">
        <f>IF(A22="","",A22-Dashboard!$B$3)</f>
        <v/>
      </c>
      <c r="C22" s="19">
        <f>IF(B22="","",B22)</f>
        <v/>
      </c>
      <c r="D22" s="20" t="n">
        <v>0</v>
      </c>
      <c r="E22" s="19">
        <f>SUM($D$4:D22)</f>
        <v/>
      </c>
      <c r="F22" s="24">
        <f>IF(Dashboard!$B$6=0,0,E22/Dashboard!$B$6)</f>
        <v/>
      </c>
      <c r="G22" s="20" t="inlineStr"/>
      <c r="H22" s="20" t="inlineStr"/>
      <c r="I22" s="10" t="inlineStr"/>
    </row>
    <row r="23">
      <c r="A23" s="23" t="inlineStr"/>
      <c r="B23" s="19">
        <f>IF(A23="","",A23-Dashboard!$B$3)</f>
        <v/>
      </c>
      <c r="C23" s="19">
        <f>IF(B23="","",B23)</f>
        <v/>
      </c>
      <c r="D23" s="20" t="n">
        <v>0</v>
      </c>
      <c r="E23" s="19">
        <f>SUM($D$4:D23)</f>
        <v/>
      </c>
      <c r="F23" s="24">
        <f>IF(Dashboard!$B$6=0,0,E23/Dashboard!$B$6)</f>
        <v/>
      </c>
      <c r="G23" s="20" t="inlineStr"/>
      <c r="H23" s="20" t="inlineStr"/>
      <c r="I23" s="10" t="inlineStr"/>
    </row>
    <row r="24">
      <c r="A24" s="23" t="inlineStr"/>
      <c r="B24" s="19">
        <f>IF(A24="","",A24-Dashboard!$B$3)</f>
        <v/>
      </c>
      <c r="C24" s="19">
        <f>IF(B24="","",B24)</f>
        <v/>
      </c>
      <c r="D24" s="20" t="n">
        <v>0</v>
      </c>
      <c r="E24" s="19">
        <f>SUM($D$4:D24)</f>
        <v/>
      </c>
      <c r="F24" s="24">
        <f>IF(Dashboard!$B$6=0,0,E24/Dashboard!$B$6)</f>
        <v/>
      </c>
      <c r="G24" s="20" t="inlineStr"/>
      <c r="H24" s="20" t="inlineStr"/>
      <c r="I24" s="10" t="inlineStr"/>
    </row>
    <row r="25">
      <c r="A25" s="23" t="inlineStr"/>
      <c r="B25" s="19">
        <f>IF(A25="","",A25-Dashboard!$B$3)</f>
        <v/>
      </c>
      <c r="C25" s="19">
        <f>IF(B25="","",B25)</f>
        <v/>
      </c>
      <c r="D25" s="20" t="n">
        <v>0</v>
      </c>
      <c r="E25" s="19">
        <f>SUM($D$4:D25)</f>
        <v/>
      </c>
      <c r="F25" s="24">
        <f>IF(Dashboard!$B$6=0,0,E25/Dashboard!$B$6)</f>
        <v/>
      </c>
      <c r="G25" s="20" t="inlineStr"/>
      <c r="H25" s="20" t="inlineStr"/>
      <c r="I25" s="10" t="inlineStr"/>
    </row>
    <row r="26">
      <c r="A26" s="23" t="inlineStr"/>
      <c r="B26" s="19">
        <f>IF(A26="","",A26-Dashboard!$B$3)</f>
        <v/>
      </c>
      <c r="C26" s="19">
        <f>IF(B26="","",B26)</f>
        <v/>
      </c>
      <c r="D26" s="20" t="n">
        <v>0</v>
      </c>
      <c r="E26" s="19">
        <f>SUM($D$4:D26)</f>
        <v/>
      </c>
      <c r="F26" s="24">
        <f>IF(Dashboard!$B$6=0,0,E26/Dashboard!$B$6)</f>
        <v/>
      </c>
      <c r="G26" s="20" t="inlineStr"/>
      <c r="H26" s="20" t="inlineStr"/>
      <c r="I26" s="10" t="inlineStr"/>
    </row>
    <row r="27">
      <c r="A27" s="23" t="inlineStr"/>
      <c r="B27" s="19">
        <f>IF(A27="","",A27-Dashboard!$B$3)</f>
        <v/>
      </c>
      <c r="C27" s="19">
        <f>IF(B27="","",B27)</f>
        <v/>
      </c>
      <c r="D27" s="20" t="n">
        <v>0</v>
      </c>
      <c r="E27" s="19">
        <f>SUM($D$4:D27)</f>
        <v/>
      </c>
      <c r="F27" s="24">
        <f>IF(Dashboard!$B$6=0,0,E27/Dashboard!$B$6)</f>
        <v/>
      </c>
      <c r="G27" s="20" t="inlineStr"/>
      <c r="H27" s="20" t="inlineStr"/>
      <c r="I27" s="10" t="inlineStr"/>
    </row>
    <row r="28">
      <c r="A28" s="23" t="inlineStr"/>
      <c r="B28" s="19">
        <f>IF(A28="","",A28-Dashboard!$B$3)</f>
        <v/>
      </c>
      <c r="C28" s="19">
        <f>IF(B28="","",B28)</f>
        <v/>
      </c>
      <c r="D28" s="20" t="n">
        <v>0</v>
      </c>
      <c r="E28" s="19">
        <f>SUM($D$4:D28)</f>
        <v/>
      </c>
      <c r="F28" s="24">
        <f>IF(Dashboard!$B$6=0,0,E28/Dashboard!$B$6)</f>
        <v/>
      </c>
      <c r="G28" s="20" t="inlineStr"/>
      <c r="H28" s="20" t="inlineStr"/>
      <c r="I28" s="10" t="inlineStr"/>
    </row>
    <row r="29">
      <c r="A29" s="23" t="inlineStr"/>
      <c r="B29" s="19">
        <f>IF(A29="","",A29-Dashboard!$B$3)</f>
        <v/>
      </c>
      <c r="C29" s="19">
        <f>IF(B29="","",B29)</f>
        <v/>
      </c>
      <c r="D29" s="20" t="n">
        <v>0</v>
      </c>
      <c r="E29" s="19">
        <f>SUM($D$4:D29)</f>
        <v/>
      </c>
      <c r="F29" s="24">
        <f>IF(Dashboard!$B$6=0,0,E29/Dashboard!$B$6)</f>
        <v/>
      </c>
      <c r="G29" s="20" t="inlineStr"/>
      <c r="H29" s="20" t="inlineStr"/>
      <c r="I29" s="10" t="inlineStr"/>
    </row>
    <row r="30">
      <c r="A30" s="23" t="inlineStr"/>
      <c r="B30" s="19">
        <f>IF(A30="","",A30-Dashboard!$B$3)</f>
        <v/>
      </c>
      <c r="C30" s="19">
        <f>IF(B30="","",B30)</f>
        <v/>
      </c>
      <c r="D30" s="20" t="n">
        <v>0</v>
      </c>
      <c r="E30" s="19">
        <f>SUM($D$4:D30)</f>
        <v/>
      </c>
      <c r="F30" s="24">
        <f>IF(Dashboard!$B$6=0,0,E30/Dashboard!$B$6)</f>
        <v/>
      </c>
      <c r="G30" s="20" t="inlineStr"/>
      <c r="H30" s="20" t="inlineStr"/>
      <c r="I30" s="10" t="inlineStr"/>
    </row>
    <row r="31">
      <c r="A31" s="23" t="inlineStr"/>
      <c r="B31" s="19">
        <f>IF(A31="","",A31-Dashboard!$B$3)</f>
        <v/>
      </c>
      <c r="C31" s="19">
        <f>IF(B31="","",B31)</f>
        <v/>
      </c>
      <c r="D31" s="20" t="n">
        <v>0</v>
      </c>
      <c r="E31" s="19">
        <f>SUM($D$4:D31)</f>
        <v/>
      </c>
      <c r="F31" s="24">
        <f>IF(Dashboard!$B$6=0,0,E31/Dashboard!$B$6)</f>
        <v/>
      </c>
      <c r="G31" s="20" t="inlineStr"/>
      <c r="H31" s="20" t="inlineStr"/>
      <c r="I31" s="10" t="inlineStr"/>
    </row>
    <row r="32">
      <c r="A32" s="23" t="inlineStr"/>
      <c r="B32" s="19">
        <f>IF(A32="","",A32-Dashboard!$B$3)</f>
        <v/>
      </c>
      <c r="C32" s="19">
        <f>IF(B32="","",B32)</f>
        <v/>
      </c>
      <c r="D32" s="20" t="n">
        <v>0</v>
      </c>
      <c r="E32" s="19">
        <f>SUM($D$4:D32)</f>
        <v/>
      </c>
      <c r="F32" s="24">
        <f>IF(Dashboard!$B$6=0,0,E32/Dashboard!$B$6)</f>
        <v/>
      </c>
      <c r="G32" s="20" t="inlineStr"/>
      <c r="H32" s="20" t="inlineStr"/>
      <c r="I32" s="10" t="inlineStr"/>
    </row>
    <row r="33">
      <c r="A33" s="23" t="inlineStr"/>
      <c r="B33" s="19">
        <f>IF(A33="","",A33-Dashboard!$B$3)</f>
        <v/>
      </c>
      <c r="C33" s="19">
        <f>IF(B33="","",B33)</f>
        <v/>
      </c>
      <c r="D33" s="20" t="n">
        <v>0</v>
      </c>
      <c r="E33" s="19">
        <f>SUM($D$4:D33)</f>
        <v/>
      </c>
      <c r="F33" s="24">
        <f>IF(Dashboard!$B$6=0,0,E33/Dashboard!$B$6)</f>
        <v/>
      </c>
      <c r="G33" s="20" t="inlineStr"/>
      <c r="H33" s="20" t="inlineStr"/>
      <c r="I33" s="10" t="inlineStr"/>
    </row>
  </sheetData>
  <mergeCells count="1">
    <mergeCell ref="A1:I1"/>
  </mergeCells>
  <conditionalFormatting sqref="F4:F33">
    <cfRule type="cellIs" priority="1" operator="greaterThan" dxfId="0">
      <formula>0.05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0" customWidth="1" min="9" max="9"/>
  </cols>
  <sheetData>
    <row r="1" ht="28" customHeight="1">
      <c r="A1" s="13" t="inlineStr">
        <is>
          <t>Medication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2" t="inlineStr">
        <is>
          <t>Medicine</t>
        </is>
      </c>
      <c r="B3" s="12" t="inlineStr">
        <is>
          <t>Purpose</t>
        </is>
      </c>
      <c r="C3" s="12" t="inlineStr">
        <is>
          <t>Start Date</t>
        </is>
      </c>
      <c r="D3" s="12" t="inlineStr">
        <is>
          <t>End Date</t>
        </is>
      </c>
      <c r="E3" s="12" t="inlineStr">
        <is>
          <t>Withdrawal (days)</t>
        </is>
      </c>
      <c r="F3" s="12" t="inlineStr">
        <is>
          <t>Dose</t>
        </is>
      </c>
      <c r="G3" s="12" t="inlineStr">
        <is>
          <t>Route</t>
        </is>
      </c>
      <c r="H3" s="12" t="inlineStr">
        <is>
          <t>Completed</t>
        </is>
      </c>
      <c r="I3" s="12" t="inlineStr">
        <is>
          <t>Veterinarian</t>
        </is>
      </c>
    </row>
    <row r="4">
      <c r="A4" s="20" t="n"/>
      <c r="B4" s="20" t="n"/>
      <c r="C4" s="25" t="n"/>
      <c r="D4" s="25" t="n"/>
      <c r="E4" s="20" t="n"/>
      <c r="F4" s="20" t="n"/>
      <c r="G4" s="20" t="n"/>
      <c r="H4" s="17" t="inlineStr">
        <is>
          <t>No</t>
        </is>
      </c>
      <c r="I4" s="20" t="n"/>
    </row>
    <row r="5">
      <c r="A5" s="20" t="n"/>
      <c r="B5" s="20" t="n"/>
      <c r="C5" s="25" t="n"/>
      <c r="D5" s="25" t="n"/>
      <c r="E5" s="20" t="n"/>
      <c r="F5" s="20" t="n"/>
      <c r="G5" s="20" t="n"/>
      <c r="H5" s="17" t="inlineStr">
        <is>
          <t>No</t>
        </is>
      </c>
      <c r="I5" s="20" t="n"/>
    </row>
    <row r="6">
      <c r="A6" s="20" t="n"/>
      <c r="B6" s="20" t="n"/>
      <c r="C6" s="25" t="n"/>
      <c r="D6" s="25" t="n"/>
      <c r="E6" s="20" t="n"/>
      <c r="F6" s="20" t="n"/>
      <c r="G6" s="20" t="n"/>
      <c r="H6" s="17" t="inlineStr">
        <is>
          <t>No</t>
        </is>
      </c>
      <c r="I6" s="20" t="n"/>
    </row>
    <row r="7">
      <c r="A7" s="20" t="n"/>
      <c r="B7" s="20" t="n"/>
      <c r="C7" s="25" t="n"/>
      <c r="D7" s="25" t="n"/>
      <c r="E7" s="20" t="n"/>
      <c r="F7" s="20" t="n"/>
      <c r="G7" s="20" t="n"/>
      <c r="H7" s="17" t="inlineStr">
        <is>
          <t>No</t>
        </is>
      </c>
      <c r="I7" s="20" t="n"/>
    </row>
    <row r="8">
      <c r="A8" s="20" t="n"/>
      <c r="B8" s="20" t="n"/>
      <c r="C8" s="25" t="n"/>
      <c r="D8" s="25" t="n"/>
      <c r="E8" s="20" t="n"/>
      <c r="F8" s="20" t="n"/>
      <c r="G8" s="20" t="n"/>
      <c r="H8" s="17" t="inlineStr">
        <is>
          <t>No</t>
        </is>
      </c>
      <c r="I8" s="20" t="n"/>
    </row>
    <row r="9">
      <c r="A9" s="20" t="n"/>
      <c r="B9" s="20" t="n"/>
      <c r="C9" s="25" t="n"/>
      <c r="D9" s="25" t="n"/>
      <c r="E9" s="20" t="n"/>
      <c r="F9" s="20" t="n"/>
      <c r="G9" s="20" t="n"/>
      <c r="H9" s="17" t="inlineStr">
        <is>
          <t>No</t>
        </is>
      </c>
      <c r="I9" s="20" t="n"/>
    </row>
    <row r="10">
      <c r="A10" s="20" t="n"/>
      <c r="B10" s="20" t="n"/>
      <c r="C10" s="25" t="n"/>
      <c r="D10" s="25" t="n"/>
      <c r="E10" s="20" t="n"/>
      <c r="F10" s="20" t="n"/>
      <c r="G10" s="20" t="n"/>
      <c r="H10" s="17" t="inlineStr">
        <is>
          <t>No</t>
        </is>
      </c>
      <c r="I10" s="20" t="n"/>
    </row>
    <row r="11">
      <c r="A11" s="20" t="n"/>
      <c r="B11" s="20" t="n"/>
      <c r="C11" s="25" t="n"/>
      <c r="D11" s="25" t="n"/>
      <c r="E11" s="20" t="n"/>
      <c r="F11" s="20" t="n"/>
      <c r="G11" s="20" t="n"/>
      <c r="H11" s="17" t="inlineStr">
        <is>
          <t>No</t>
        </is>
      </c>
      <c r="I11" s="20" t="n"/>
    </row>
    <row r="12">
      <c r="A12" s="20" t="n"/>
      <c r="B12" s="20" t="n"/>
      <c r="C12" s="25" t="n"/>
      <c r="D12" s="25" t="n"/>
      <c r="E12" s="20" t="n"/>
      <c r="F12" s="20" t="n"/>
      <c r="G12" s="20" t="n"/>
      <c r="H12" s="17" t="inlineStr">
        <is>
          <t>No</t>
        </is>
      </c>
      <c r="I12" s="20" t="n"/>
    </row>
    <row r="13">
      <c r="A13" s="20" t="n"/>
      <c r="B13" s="20" t="n"/>
      <c r="C13" s="25" t="n"/>
      <c r="D13" s="25" t="n"/>
      <c r="E13" s="20" t="n"/>
      <c r="F13" s="20" t="n"/>
      <c r="G13" s="20" t="n"/>
      <c r="H13" s="17" t="inlineStr">
        <is>
          <t>No</t>
        </is>
      </c>
      <c r="I13" s="20" t="n"/>
    </row>
    <row r="14">
      <c r="A14" s="20" t="n"/>
      <c r="B14" s="20" t="n"/>
      <c r="C14" s="25" t="n"/>
      <c r="D14" s="25" t="n"/>
      <c r="E14" s="20" t="n"/>
      <c r="F14" s="20" t="n"/>
      <c r="G14" s="20" t="n"/>
      <c r="H14" s="17" t="inlineStr">
        <is>
          <t>No</t>
        </is>
      </c>
      <c r="I14" s="20" t="n"/>
    </row>
    <row r="15">
      <c r="A15" s="20" t="n"/>
      <c r="B15" s="20" t="n"/>
      <c r="C15" s="25" t="n"/>
      <c r="D15" s="25" t="n"/>
      <c r="E15" s="20" t="n"/>
      <c r="F15" s="20" t="n"/>
      <c r="G15" s="20" t="n"/>
      <c r="H15" s="17" t="inlineStr">
        <is>
          <t>No</t>
        </is>
      </c>
      <c r="I15" s="20" t="n"/>
    </row>
    <row r="16">
      <c r="A16" s="20" t="n"/>
      <c r="B16" s="20" t="n"/>
      <c r="C16" s="25" t="n"/>
      <c r="D16" s="25" t="n"/>
      <c r="E16" s="20" t="n"/>
      <c r="F16" s="20" t="n"/>
      <c r="G16" s="20" t="n"/>
      <c r="H16" s="17" t="inlineStr">
        <is>
          <t>No</t>
        </is>
      </c>
      <c r="I16" s="20" t="n"/>
    </row>
    <row r="17">
      <c r="A17" s="20" t="n"/>
      <c r="B17" s="20" t="n"/>
      <c r="C17" s="25" t="n"/>
      <c r="D17" s="25" t="n"/>
      <c r="E17" s="20" t="n"/>
      <c r="F17" s="20" t="n"/>
      <c r="G17" s="20" t="n"/>
      <c r="H17" s="17" t="inlineStr">
        <is>
          <t>No</t>
        </is>
      </c>
      <c r="I17" s="20" t="n"/>
    </row>
    <row r="18">
      <c r="A18" s="20" t="n"/>
      <c r="B18" s="20" t="n"/>
      <c r="C18" s="25" t="n"/>
      <c r="D18" s="25" t="n"/>
      <c r="E18" s="20" t="n"/>
      <c r="F18" s="20" t="n"/>
      <c r="G18" s="20" t="n"/>
      <c r="H18" s="17" t="inlineStr">
        <is>
          <t>No</t>
        </is>
      </c>
      <c r="I18" s="20" t="n"/>
    </row>
  </sheetData>
  <mergeCells count="1">
    <mergeCell ref="A1:I1"/>
  </mergeCells>
  <dataValidations count="1">
    <dataValidation sqref="H4:H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9688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2" customWidth="1" min="9" max="9"/>
    <col width="30" customWidth="1" min="10" max="10"/>
  </cols>
  <sheetData>
    <row r="1" ht="28" customHeight="1">
      <c r="A1" s="13" t="inlineStr">
        <is>
          <t>Vaccine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2" t="inlineStr">
        <is>
          <t>Vaccine</t>
        </is>
      </c>
      <c r="B3" s="12" t="inlineStr">
        <is>
          <t>Manufacturer</t>
        </is>
      </c>
      <c r="C3" s="12" t="inlineStr">
        <is>
          <t>Lot Number</t>
        </is>
      </c>
      <c r="D3" s="12" t="inlineStr">
        <is>
          <t>Expiry Date</t>
        </is>
      </c>
      <c r="E3" s="12" t="inlineStr">
        <is>
          <t>Storage Temp (°C)</t>
        </is>
      </c>
      <c r="F3" s="12" t="inlineStr">
        <is>
          <t>Quantity Received</t>
        </is>
      </c>
      <c r="G3" s="12" t="inlineStr">
        <is>
          <t>Quantity Used</t>
        </is>
      </c>
      <c r="H3" s="12" t="inlineStr">
        <is>
          <t>Quantity Remaining</t>
        </is>
      </c>
      <c r="I3" s="12" t="inlineStr">
        <is>
          <t>Alert</t>
        </is>
      </c>
      <c r="J3" s="12" t="inlineStr">
        <is>
          <t>Notes</t>
        </is>
      </c>
    </row>
    <row r="4">
      <c r="A4" s="20" t="n"/>
      <c r="B4" s="20" t="n"/>
      <c r="C4" s="20" t="n"/>
      <c r="D4" s="23" t="n"/>
      <c r="E4" s="20" t="n"/>
      <c r="F4" s="20" t="n"/>
      <c r="G4" s="20" t="n"/>
      <c r="H4" s="19">
        <f>IFERROR(F4-G4,0)</f>
        <v/>
      </c>
      <c r="I4" s="19">
        <f>IF(D4="","",IF(D4-TODAY()&lt;30,"EXPIRING SOON","OK"))</f>
        <v/>
      </c>
      <c r="J4" s="10" t="n"/>
    </row>
    <row r="5">
      <c r="A5" s="20" t="n"/>
      <c r="B5" s="20" t="n"/>
      <c r="C5" s="20" t="n"/>
      <c r="D5" s="23" t="n"/>
      <c r="E5" s="20" t="n"/>
      <c r="F5" s="20" t="n"/>
      <c r="G5" s="20" t="n"/>
      <c r="H5" s="19">
        <f>IFERROR(F5-G5,0)</f>
        <v/>
      </c>
      <c r="I5" s="19">
        <f>IF(D5="","",IF(D5-TODAY()&lt;30,"EXPIRING SOON","OK"))</f>
        <v/>
      </c>
      <c r="J5" s="10" t="n"/>
    </row>
    <row r="6">
      <c r="A6" s="20" t="n"/>
      <c r="B6" s="20" t="n"/>
      <c r="C6" s="20" t="n"/>
      <c r="D6" s="23" t="n"/>
      <c r="E6" s="20" t="n"/>
      <c r="F6" s="20" t="n"/>
      <c r="G6" s="20" t="n"/>
      <c r="H6" s="19">
        <f>IFERROR(F6-G6,0)</f>
        <v/>
      </c>
      <c r="I6" s="19">
        <f>IF(D6="","",IF(D6-TODAY()&lt;30,"EXPIRING SOON","OK"))</f>
        <v/>
      </c>
      <c r="J6" s="10" t="n"/>
    </row>
    <row r="7">
      <c r="A7" s="20" t="n"/>
      <c r="B7" s="20" t="n"/>
      <c r="C7" s="20" t="n"/>
      <c r="D7" s="23" t="n"/>
      <c r="E7" s="20" t="n"/>
      <c r="F7" s="20" t="n"/>
      <c r="G7" s="20" t="n"/>
      <c r="H7" s="19">
        <f>IFERROR(F7-G7,0)</f>
        <v/>
      </c>
      <c r="I7" s="19">
        <f>IF(D7="","",IF(D7-TODAY()&lt;30,"EXPIRING SOON","OK"))</f>
        <v/>
      </c>
      <c r="J7" s="10" t="n"/>
    </row>
    <row r="8">
      <c r="A8" s="20" t="n"/>
      <c r="B8" s="20" t="n"/>
      <c r="C8" s="20" t="n"/>
      <c r="D8" s="23" t="n"/>
      <c r="E8" s="20" t="n"/>
      <c r="F8" s="20" t="n"/>
      <c r="G8" s="20" t="n"/>
      <c r="H8" s="19">
        <f>IFERROR(F8-G8,0)</f>
        <v/>
      </c>
      <c r="I8" s="19">
        <f>IF(D8="","",IF(D8-TODAY()&lt;30,"EXPIRING SOON","OK"))</f>
        <v/>
      </c>
      <c r="J8" s="10" t="n"/>
    </row>
    <row r="9">
      <c r="A9" s="20" t="n"/>
      <c r="B9" s="20" t="n"/>
      <c r="C9" s="20" t="n"/>
      <c r="D9" s="23" t="n"/>
      <c r="E9" s="20" t="n"/>
      <c r="F9" s="20" t="n"/>
      <c r="G9" s="20" t="n"/>
      <c r="H9" s="19">
        <f>IFERROR(F9-G9,0)</f>
        <v/>
      </c>
      <c r="I9" s="19">
        <f>IF(D9="","",IF(D9-TODAY()&lt;30,"EXPIRING SOON","OK"))</f>
        <v/>
      </c>
      <c r="J9" s="10" t="n"/>
    </row>
    <row r="10">
      <c r="A10" s="20" t="n"/>
      <c r="B10" s="20" t="n"/>
      <c r="C10" s="20" t="n"/>
      <c r="D10" s="23" t="n"/>
      <c r="E10" s="20" t="n"/>
      <c r="F10" s="20" t="n"/>
      <c r="G10" s="20" t="n"/>
      <c r="H10" s="19">
        <f>IFERROR(F10-G10,0)</f>
        <v/>
      </c>
      <c r="I10" s="19">
        <f>IF(D10="","",IF(D10-TODAY()&lt;30,"EXPIRING SOON","OK"))</f>
        <v/>
      </c>
      <c r="J10" s="10" t="n"/>
    </row>
    <row r="11">
      <c r="A11" s="20" t="n"/>
      <c r="B11" s="20" t="n"/>
      <c r="C11" s="20" t="n"/>
      <c r="D11" s="23" t="n"/>
      <c r="E11" s="20" t="n"/>
      <c r="F11" s="20" t="n"/>
      <c r="G11" s="20" t="n"/>
      <c r="H11" s="19">
        <f>IFERROR(F11-G11,0)</f>
        <v/>
      </c>
      <c r="I11" s="19">
        <f>IF(D11="","",IF(D11-TODAY()&lt;30,"EXPIRING SOON","OK"))</f>
        <v/>
      </c>
      <c r="J11" s="10" t="n"/>
    </row>
    <row r="12">
      <c r="A12" s="20" t="n"/>
      <c r="B12" s="20" t="n"/>
      <c r="C12" s="20" t="n"/>
      <c r="D12" s="23" t="n"/>
      <c r="E12" s="20" t="n"/>
      <c r="F12" s="20" t="n"/>
      <c r="G12" s="20" t="n"/>
      <c r="H12" s="19">
        <f>IFERROR(F12-G12,0)</f>
        <v/>
      </c>
      <c r="I12" s="19">
        <f>IF(D12="","",IF(D12-TODAY()&lt;30,"EXPIRING SOON","OK"))</f>
        <v/>
      </c>
      <c r="J12" s="10" t="n"/>
    </row>
    <row r="13">
      <c r="A13" s="20" t="n"/>
      <c r="B13" s="20" t="n"/>
      <c r="C13" s="20" t="n"/>
      <c r="D13" s="23" t="n"/>
      <c r="E13" s="20" t="n"/>
      <c r="F13" s="20" t="n"/>
      <c r="G13" s="20" t="n"/>
      <c r="H13" s="19">
        <f>IFERROR(F13-G13,0)</f>
        <v/>
      </c>
      <c r="I13" s="19">
        <f>IF(D13="","",IF(D13-TODAY()&lt;30,"EXPIRING SOON","OK"))</f>
        <v/>
      </c>
      <c r="J13" s="10" t="n"/>
    </row>
    <row r="14">
      <c r="A14" s="20" t="n"/>
      <c r="B14" s="20" t="n"/>
      <c r="C14" s="20" t="n"/>
      <c r="D14" s="23" t="n"/>
      <c r="E14" s="20" t="n"/>
      <c r="F14" s="20" t="n"/>
      <c r="G14" s="20" t="n"/>
      <c r="H14" s="19">
        <f>IFERROR(F14-G14,0)</f>
        <v/>
      </c>
      <c r="I14" s="19">
        <f>IF(D14="","",IF(D14-TODAY()&lt;30,"EXPIRING SOON","OK"))</f>
        <v/>
      </c>
      <c r="J14" s="10" t="n"/>
    </row>
    <row r="15">
      <c r="A15" s="20" t="n"/>
      <c r="B15" s="20" t="n"/>
      <c r="C15" s="20" t="n"/>
      <c r="D15" s="23" t="n"/>
      <c r="E15" s="20" t="n"/>
      <c r="F15" s="20" t="n"/>
      <c r="G15" s="20" t="n"/>
      <c r="H15" s="19">
        <f>IFERROR(F15-G15,0)</f>
        <v/>
      </c>
      <c r="I15" s="19">
        <f>IF(D15="","",IF(D15-TODAY()&lt;30,"EXPIRING SOON","OK"))</f>
        <v/>
      </c>
      <c r="J15" s="10" t="n"/>
    </row>
    <row r="16">
      <c r="A16" s="20" t="n"/>
      <c r="B16" s="20" t="n"/>
      <c r="C16" s="20" t="n"/>
      <c r="D16" s="23" t="n"/>
      <c r="E16" s="20" t="n"/>
      <c r="F16" s="20" t="n"/>
      <c r="G16" s="20" t="n"/>
      <c r="H16" s="19">
        <f>IFERROR(F16-G16,0)</f>
        <v/>
      </c>
      <c r="I16" s="19">
        <f>IF(D16="","",IF(D16-TODAY()&lt;30,"EXPIRING SOON","OK"))</f>
        <v/>
      </c>
      <c r="J16" s="10" t="n"/>
    </row>
    <row r="17">
      <c r="A17" s="20" t="n"/>
      <c r="B17" s="20" t="n"/>
      <c r="C17" s="20" t="n"/>
      <c r="D17" s="23" t="n"/>
      <c r="E17" s="20" t="n"/>
      <c r="F17" s="20" t="n"/>
      <c r="G17" s="20" t="n"/>
      <c r="H17" s="19">
        <f>IFERROR(F17-G17,0)</f>
        <v/>
      </c>
      <c r="I17" s="19">
        <f>IF(D17="","",IF(D17-TODAY()&lt;30,"EXPIRING SOON","OK"))</f>
        <v/>
      </c>
      <c r="J17" s="10" t="n"/>
    </row>
    <row r="18">
      <c r="A18" s="20" t="n"/>
      <c r="B18" s="20" t="n"/>
      <c r="C18" s="20" t="n"/>
      <c r="D18" s="23" t="n"/>
      <c r="E18" s="20" t="n"/>
      <c r="F18" s="20" t="n"/>
      <c r="G18" s="20" t="n"/>
      <c r="H18" s="19">
        <f>IFERROR(F18-G18,0)</f>
        <v/>
      </c>
      <c r="I18" s="19">
        <f>IF(D18="","",IF(D18-TODAY()&lt;30,"EXPIRING SOON","OK"))</f>
        <v/>
      </c>
      <c r="J18" s="10" t="n"/>
    </row>
  </sheetData>
  <mergeCells count="1">
    <mergeCell ref="A1:J1"/>
  </mergeCells>
  <conditionalFormatting sqref="I4:I18">
    <cfRule type="cellIs" priority="1" operator="equal" dxfId="0">
      <formula>"EXPIRING SOON"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07D8B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35" customWidth="1" min="4" max="4"/>
    <col width="35" customWidth="1" min="5" max="5"/>
  </cols>
  <sheetData>
    <row r="1" ht="28" customHeight="1">
      <c r="A1" s="13" t="inlineStr">
        <is>
          <t>Farm Records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2" t="inlineStr">
        <is>
          <t>Date</t>
        </is>
      </c>
      <c r="B3" s="12" t="inlineStr">
        <is>
          <t>Weather</t>
        </is>
      </c>
      <c r="C3" s="12" t="inlineStr">
        <is>
          <t>Notes</t>
        </is>
      </c>
      <c r="D3" s="12" t="inlineStr">
        <is>
          <t>Biosecurity Incidents</t>
        </is>
      </c>
      <c r="E3" s="12" t="inlineStr">
        <is>
          <t>Maintenance</t>
        </is>
      </c>
    </row>
    <row r="4">
      <c r="A4" s="23" t="n"/>
      <c r="B4" s="20" t="n"/>
      <c r="C4" s="20" t="n"/>
      <c r="D4" s="20" t="n"/>
      <c r="E4" s="20" t="n"/>
    </row>
    <row r="5">
      <c r="A5" s="23" t="n"/>
      <c r="B5" s="20" t="n"/>
      <c r="C5" s="20" t="n"/>
      <c r="D5" s="20" t="n"/>
      <c r="E5" s="20" t="n"/>
    </row>
    <row r="6">
      <c r="A6" s="23" t="n"/>
      <c r="B6" s="20" t="n"/>
      <c r="C6" s="20" t="n"/>
      <c r="D6" s="20" t="n"/>
      <c r="E6" s="20" t="n"/>
    </row>
    <row r="7">
      <c r="A7" s="23" t="n"/>
      <c r="B7" s="20" t="n"/>
      <c r="C7" s="20" t="n"/>
      <c r="D7" s="20" t="n"/>
      <c r="E7" s="20" t="n"/>
    </row>
    <row r="8">
      <c r="A8" s="23" t="n"/>
      <c r="B8" s="20" t="n"/>
      <c r="C8" s="20" t="n"/>
      <c r="D8" s="20" t="n"/>
      <c r="E8" s="20" t="n"/>
    </row>
    <row r="9">
      <c r="A9" s="23" t="n"/>
      <c r="B9" s="20" t="n"/>
      <c r="C9" s="20" t="n"/>
      <c r="D9" s="20" t="n"/>
      <c r="E9" s="20" t="n"/>
    </row>
    <row r="10">
      <c r="A10" s="23" t="n"/>
      <c r="B10" s="20" t="n"/>
      <c r="C10" s="20" t="n"/>
      <c r="D10" s="20" t="n"/>
      <c r="E10" s="20" t="n"/>
    </row>
    <row r="11">
      <c r="A11" s="23" t="n"/>
      <c r="B11" s="20" t="n"/>
      <c r="C11" s="20" t="n"/>
      <c r="D11" s="20" t="n"/>
      <c r="E11" s="20" t="n"/>
    </row>
    <row r="12">
      <c r="A12" s="23" t="n"/>
      <c r="B12" s="20" t="n"/>
      <c r="C12" s="20" t="n"/>
      <c r="D12" s="20" t="n"/>
      <c r="E12" s="20" t="n"/>
    </row>
    <row r="13">
      <c r="A13" s="23" t="n"/>
      <c r="B13" s="20" t="n"/>
      <c r="C13" s="20" t="n"/>
      <c r="D13" s="20" t="n"/>
      <c r="E13" s="20" t="n"/>
    </row>
    <row r="14">
      <c r="A14" s="23" t="n"/>
      <c r="B14" s="20" t="n"/>
      <c r="C14" s="20" t="n"/>
      <c r="D14" s="20" t="n"/>
      <c r="E14" s="20" t="n"/>
    </row>
    <row r="15">
      <c r="A15" s="23" t="n"/>
      <c r="B15" s="20" t="n"/>
      <c r="C15" s="20" t="n"/>
      <c r="D15" s="20" t="n"/>
      <c r="E15" s="20" t="n"/>
    </row>
    <row r="16">
      <c r="A16" s="23" t="n"/>
      <c r="B16" s="20" t="n"/>
      <c r="C16" s="20" t="n"/>
      <c r="D16" s="20" t="n"/>
      <c r="E16" s="20" t="n"/>
    </row>
    <row r="17">
      <c r="A17" s="23" t="n"/>
      <c r="B17" s="20" t="n"/>
      <c r="C17" s="20" t="n"/>
      <c r="D17" s="20" t="n"/>
      <c r="E17" s="20" t="n"/>
    </row>
    <row r="18">
      <c r="A18" s="23" t="n"/>
      <c r="B18" s="20" t="n"/>
      <c r="C18" s="20" t="n"/>
      <c r="D18" s="20" t="n"/>
      <c r="E18" s="20" t="n"/>
    </row>
    <row r="19">
      <c r="A19" s="23" t="n"/>
      <c r="B19" s="20" t="n"/>
      <c r="C19" s="20" t="n"/>
      <c r="D19" s="20" t="n"/>
      <c r="E19" s="20" t="n"/>
    </row>
    <row r="20">
      <c r="A20" s="23" t="n"/>
      <c r="B20" s="20" t="n"/>
      <c r="C20" s="20" t="n"/>
      <c r="D20" s="20" t="n"/>
      <c r="E20" s="20" t="n"/>
    </row>
    <row r="21">
      <c r="A21" s="23" t="n"/>
      <c r="B21" s="20" t="n"/>
      <c r="C21" s="20" t="n"/>
      <c r="D21" s="20" t="n"/>
      <c r="E21" s="20" t="n"/>
    </row>
    <row r="22">
      <c r="A22" s="23" t="n"/>
      <c r="B22" s="20" t="n"/>
      <c r="C22" s="20" t="n"/>
      <c r="D22" s="20" t="n"/>
      <c r="E22" s="20" t="n"/>
    </row>
    <row r="23">
      <c r="A23" s="23" t="n"/>
      <c r="B23" s="20" t="n"/>
      <c r="C23" s="20" t="n"/>
      <c r="D23" s="20" t="n"/>
      <c r="E23" s="20" t="n"/>
    </row>
    <row r="24">
      <c r="A24" s="23" t="n"/>
      <c r="B24" s="20" t="n"/>
      <c r="C24" s="20" t="n"/>
      <c r="D24" s="20" t="n"/>
      <c r="E24" s="20" t="n"/>
    </row>
    <row r="25">
      <c r="A25" s="23" t="n"/>
      <c r="B25" s="20" t="n"/>
      <c r="C25" s="20" t="n"/>
      <c r="D25" s="20" t="n"/>
      <c r="E25" s="20" t="n"/>
    </row>
    <row r="26">
      <c r="A26" s="23" t="n"/>
      <c r="B26" s="20" t="n"/>
      <c r="C26" s="20" t="n"/>
      <c r="D26" s="20" t="n"/>
      <c r="E26" s="20" t="n"/>
    </row>
    <row r="27">
      <c r="A27" s="23" t="n"/>
      <c r="B27" s="20" t="n"/>
      <c r="C27" s="20" t="n"/>
      <c r="D27" s="20" t="n"/>
      <c r="E27" s="20" t="n"/>
    </row>
    <row r="28">
      <c r="A28" s="23" t="n"/>
      <c r="B28" s="20" t="n"/>
      <c r="C28" s="20" t="n"/>
      <c r="D28" s="20" t="n"/>
      <c r="E28" s="20" t="n"/>
    </row>
    <row r="29">
      <c r="A29" s="23" t="n"/>
      <c r="B29" s="20" t="n"/>
      <c r="C29" s="20" t="n"/>
      <c r="D29" s="20" t="n"/>
      <c r="E29" s="20" t="n"/>
    </row>
    <row r="30">
      <c r="A30" s="23" t="n"/>
      <c r="B30" s="20" t="n"/>
      <c r="C30" s="20" t="n"/>
      <c r="D30" s="20" t="n"/>
      <c r="E30" s="20" t="n"/>
    </row>
    <row r="31">
      <c r="A31" s="23" t="n"/>
      <c r="B31" s="20" t="n"/>
      <c r="C31" s="20" t="n"/>
      <c r="D31" s="20" t="n"/>
      <c r="E31" s="20" t="n"/>
    </row>
    <row r="32">
      <c r="A32" s="23" t="n"/>
      <c r="B32" s="20" t="n"/>
      <c r="C32" s="20" t="n"/>
      <c r="D32" s="20" t="n"/>
      <c r="E32" s="20" t="n"/>
    </row>
    <row r="33">
      <c r="A33" s="23" t="n"/>
      <c r="B33" s="20" t="n"/>
      <c r="C33" s="20" t="n"/>
      <c r="D33" s="20" t="n"/>
      <c r="E33" s="2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2026-06-30T15:01:57Z</dcterms:created>
  <dcterms:modified xmlns:dcterms="http://purl.org/dc/terms/" xmlns:xsi="http://www.w3.org/2001/XMLSchema-instance" xsi:type="dcterms:W3CDTF">2026-06-30T15:01:57Z</dcterms:modified>
</cp:coreProperties>
</file>